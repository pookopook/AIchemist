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FA1C212-820B-49F3-8B56-3CE49C2A82B9}" xr6:coauthVersionLast="47" xr6:coauthVersionMax="47" xr10:uidLastSave="{00000000-0000-0000-0000-000000000000}"/>
  <bookViews>
    <workbookView xWindow="-108" yWindow="-108" windowWidth="30936" windowHeight="16776" tabRatio="854" activeTab="10" xr2:uid="{6EEA5691-BE3C-4BE4-A7D6-090B982C42C1}"/>
  </bookViews>
  <sheets>
    <sheet name="0환경" sheetId="8" r:id="rId1"/>
    <sheet name="1셀" sheetId="4" r:id="rId2"/>
    <sheet name="2채" sheetId="5" r:id="rId3"/>
    <sheet name="3단" sheetId="6" r:id="rId4"/>
    <sheet name="5문" sheetId="9" r:id="rId5"/>
    <sheet name="4데" sheetId="7" r:id="rId6"/>
    <sheet name="6V" sheetId="10" r:id="rId7"/>
    <sheet name="6S" sheetId="11" r:id="rId8"/>
    <sheet name="9셀병합" sheetId="12" r:id="rId9"/>
    <sheet name="10피벗" sheetId="13" r:id="rId10"/>
    <sheet name="13분석이 어려운 이유" sheetId="15" r:id="rId11"/>
    <sheet name="13데이터분석" sheetId="14" r:id="rId12"/>
    <sheet name="출처" sheetId="16" r:id="rId13"/>
  </sheets>
  <definedNames>
    <definedName name="_xlnm._FilterDatabase" localSheetId="3" hidden="1">'3단'!$C$51:$J$57</definedName>
    <definedName name="_xlnm._FilterDatabase" localSheetId="8" hidden="1">'9셀병합'!$B$5:$H$24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5" l="1"/>
  <c r="E10" i="15"/>
  <c r="F28" i="15" s="1"/>
  <c r="F10" i="15"/>
  <c r="F35" i="15" s="1"/>
  <c r="G10" i="15"/>
  <c r="G17" i="15" s="1"/>
  <c r="H10" i="15"/>
  <c r="H17" i="15" s="1"/>
  <c r="I10" i="15"/>
  <c r="I17" i="15" s="1"/>
  <c r="J10" i="15"/>
  <c r="J17" i="15" s="1"/>
  <c r="K10" i="15"/>
  <c r="K17" i="15" s="1"/>
  <c r="L10" i="15"/>
  <c r="L17" i="15" s="1"/>
  <c r="M10" i="15"/>
  <c r="M17" i="15" s="1"/>
  <c r="N10" i="15"/>
  <c r="N17" i="15" s="1"/>
  <c r="E11" i="15"/>
  <c r="F29" i="15" s="1"/>
  <c r="F11" i="15"/>
  <c r="F36" i="15" s="1"/>
  <c r="G11" i="15"/>
  <c r="H11" i="15"/>
  <c r="I11" i="15"/>
  <c r="J11" i="15"/>
  <c r="K11" i="15"/>
  <c r="L11" i="15"/>
  <c r="M11" i="15"/>
  <c r="N11" i="15"/>
  <c r="E12" i="15"/>
  <c r="F30" i="15" s="1"/>
  <c r="F12" i="15"/>
  <c r="F37" i="15" s="1"/>
  <c r="G12" i="15"/>
  <c r="H12" i="15"/>
  <c r="I12" i="15"/>
  <c r="J12" i="15"/>
  <c r="K12" i="15"/>
  <c r="L12" i="15"/>
  <c r="M12" i="15"/>
  <c r="N12" i="15"/>
  <c r="E13" i="15"/>
  <c r="F31" i="15" s="1"/>
  <c r="F13" i="15"/>
  <c r="F38" i="15" s="1"/>
  <c r="G13" i="15"/>
  <c r="H13" i="15"/>
  <c r="I13" i="15"/>
  <c r="J13" i="15"/>
  <c r="K13" i="15"/>
  <c r="L13" i="15"/>
  <c r="M13" i="15"/>
  <c r="N13" i="15"/>
  <c r="E14" i="15"/>
  <c r="F32" i="15" s="1"/>
  <c r="F14" i="15"/>
  <c r="F39" i="15" s="1"/>
  <c r="G14" i="15"/>
  <c r="H14" i="15"/>
  <c r="I14" i="15"/>
  <c r="J14" i="15"/>
  <c r="K14" i="15"/>
  <c r="L14" i="15"/>
  <c r="M14" i="15"/>
  <c r="N14" i="15"/>
  <c r="E15" i="15"/>
  <c r="F33" i="15" s="1"/>
  <c r="F15" i="15"/>
  <c r="F40" i="15" s="1"/>
  <c r="G15" i="15"/>
  <c r="H15" i="15"/>
  <c r="I15" i="15"/>
  <c r="J15" i="15"/>
  <c r="K15" i="15"/>
  <c r="L15" i="15"/>
  <c r="M15" i="15"/>
  <c r="N15" i="15"/>
  <c r="E16" i="15"/>
  <c r="F34" i="15" s="1"/>
  <c r="F16" i="15"/>
  <c r="F41" i="15" s="1"/>
  <c r="G16" i="15"/>
  <c r="H16" i="15"/>
  <c r="I16" i="15"/>
  <c r="J16" i="15"/>
  <c r="K16" i="15"/>
  <c r="L16" i="15"/>
  <c r="M16" i="15"/>
  <c r="N16" i="15"/>
  <c r="E17" i="15" l="1"/>
  <c r="O16" i="15"/>
  <c r="O14" i="15"/>
  <c r="O15" i="15"/>
  <c r="O13" i="15"/>
  <c r="O11" i="15"/>
  <c r="O12" i="15"/>
  <c r="O10" i="15"/>
  <c r="O17" i="15" s="1"/>
  <c r="H17" i="9"/>
  <c r="H16" i="9"/>
  <c r="H15" i="9"/>
  <c r="H14" i="9"/>
  <c r="H13" i="9"/>
  <c r="G51" i="7" l="1"/>
  <c r="H45" i="6"/>
  <c r="H44" i="6"/>
  <c r="H43" i="6"/>
  <c r="H42" i="6"/>
  <c r="H41" i="6"/>
  <c r="H40" i="6"/>
  <c r="H39" i="6"/>
  <c r="H31" i="6"/>
  <c r="H30" i="6"/>
  <c r="H29" i="6"/>
  <c r="H27" i="6"/>
  <c r="H26" i="6"/>
  <c r="H25" i="6"/>
  <c r="H13" i="6"/>
  <c r="H14" i="6"/>
  <c r="H15" i="6"/>
  <c r="H16" i="6"/>
  <c r="H17" i="6"/>
  <c r="H18" i="6"/>
  <c r="H19" i="6"/>
  <c r="D17" i="4"/>
</calcChain>
</file>

<file path=xl/sharedStrings.xml><?xml version="1.0" encoding="utf-8"?>
<sst xmlns="http://schemas.openxmlformats.org/spreadsheetml/2006/main" count="1054" uniqueCount="362">
  <si>
    <t>구</t>
    <phoneticPr fontId="1" type="noConversion"/>
  </si>
  <si>
    <t>연번</t>
    <phoneticPr fontId="1" type="noConversion"/>
  </si>
  <si>
    <t>이름</t>
    <phoneticPr fontId="1" type="noConversion"/>
  </si>
  <si>
    <t>사번</t>
    <phoneticPr fontId="1" type="noConversion"/>
  </si>
  <si>
    <t>김건이</t>
    <phoneticPr fontId="1" type="noConversion"/>
  </si>
  <si>
    <t>건강이</t>
    <phoneticPr fontId="1" type="noConversion"/>
  </si>
  <si>
    <t>빼뚤이</t>
    <phoneticPr fontId="1" type="noConversion"/>
  </si>
  <si>
    <t>1. 셀 선택, 이동, 입력</t>
    <phoneticPr fontId="1" type="noConversion"/>
  </si>
  <si>
    <t>1. 셀 선택, 이동</t>
    <phoneticPr fontId="1" type="noConversion"/>
  </si>
  <si>
    <t>2. 입력</t>
    <phoneticPr fontId="1" type="noConversion"/>
  </si>
  <si>
    <t>금액</t>
    <phoneticPr fontId="1" type="noConversion"/>
  </si>
  <si>
    <t>합계</t>
    <phoneticPr fontId="1" type="noConversion"/>
  </si>
  <si>
    <t>셀을 선택, 이동하는 다양한 방법을 사용해보세요</t>
    <phoneticPr fontId="1" type="noConversion"/>
  </si>
  <si>
    <t>* 다중 셀 동시 입력</t>
    <phoneticPr fontId="1" type="noConversion"/>
  </si>
  <si>
    <t xml:space="preserve"> - 굵은 셀 안에 '안녕'을 한번에 입력해보세요</t>
    <phoneticPr fontId="1" type="noConversion"/>
  </si>
  <si>
    <t>2. 채우기</t>
    <phoneticPr fontId="1" type="noConversion"/>
  </si>
  <si>
    <t>피카츄</t>
    <phoneticPr fontId="1" type="noConversion"/>
  </si>
  <si>
    <t>라이츄</t>
    <phoneticPr fontId="1" type="noConversion"/>
  </si>
  <si>
    <t>하츄핑</t>
    <phoneticPr fontId="1" type="noConversion"/>
  </si>
  <si>
    <t>트러핑</t>
    <phoneticPr fontId="1" type="noConversion"/>
  </si>
  <si>
    <t>라라핑</t>
    <phoneticPr fontId="1" type="noConversion"/>
  </si>
  <si>
    <t>* 빠르게 숫자 일련번호 채우기 연습</t>
    <phoneticPr fontId="1" type="noConversion"/>
  </si>
  <si>
    <t>작은 사각형을 더블클릭</t>
    <phoneticPr fontId="1" type="noConversion"/>
  </si>
  <si>
    <t>연번 1~3 샘플을 선택하고,</t>
    <phoneticPr fontId="1" type="noConversion"/>
  </si>
  <si>
    <t>CTRL+D</t>
    <phoneticPr fontId="1" type="noConversion"/>
  </si>
  <si>
    <t>CTRL+R</t>
    <phoneticPr fontId="1" type="noConversion"/>
  </si>
  <si>
    <t>익명</t>
    <phoneticPr fontId="1" type="noConversion"/>
  </si>
  <si>
    <t>김ㅇ이</t>
    <phoneticPr fontId="1" type="noConversion"/>
  </si>
  <si>
    <t>*CTRL+E</t>
    <phoneticPr fontId="1" type="noConversion"/>
  </si>
  <si>
    <t>3. 단축키</t>
    <phoneticPr fontId="1" type="noConversion"/>
  </si>
  <si>
    <t>F4 반복실행기능을 활용해봅시다.</t>
    <phoneticPr fontId="1" type="noConversion"/>
  </si>
  <si>
    <t>바로핑</t>
    <phoneticPr fontId="1" type="noConversion"/>
  </si>
  <si>
    <t>차차핑</t>
    <phoneticPr fontId="1" type="noConversion"/>
  </si>
  <si>
    <t>아자핑</t>
    <phoneticPr fontId="1" type="noConversion"/>
  </si>
  <si>
    <r>
      <t>*글씨체에도 동일하게 작동합니다.</t>
    </r>
    <r>
      <rPr>
        <b/>
        <sz val="11"/>
        <color theme="1"/>
        <rFont val="맑은 고딕"/>
        <family val="3"/>
        <charset val="129"/>
        <scheme val="minor"/>
      </rPr>
      <t xml:space="preserve"> 굵게, 기울이기</t>
    </r>
    <r>
      <rPr>
        <sz val="11"/>
        <color theme="1"/>
        <rFont val="맑은 고딕"/>
        <family val="3"/>
        <charset val="129"/>
        <scheme val="minor"/>
      </rPr>
      <t xml:space="preserve"> 등을 써보세요.</t>
    </r>
    <phoneticPr fontId="1" type="noConversion"/>
  </si>
  <si>
    <r>
      <t xml:space="preserve">*첫번째만 </t>
    </r>
    <r>
      <rPr>
        <b/>
        <sz val="11"/>
        <color rgb="FF7030A0"/>
        <rFont val="맑은 고딕"/>
        <family val="3"/>
        <charset val="129"/>
        <scheme val="minor"/>
      </rPr>
      <t>보라색</t>
    </r>
    <r>
      <rPr>
        <sz val="11"/>
        <color theme="1"/>
        <rFont val="맑은 고딕"/>
        <family val="3"/>
        <charset val="129"/>
        <scheme val="minor"/>
      </rPr>
      <t>으로 칠하고, 나머지는 F4로 동일한 색상으로 채우세요</t>
    </r>
    <phoneticPr fontId="1" type="noConversion"/>
  </si>
  <si>
    <t>항목명</t>
  </si>
  <si>
    <t>담당부서</t>
  </si>
  <si>
    <t>인사팀</t>
  </si>
  <si>
    <t>마케팅팀</t>
  </si>
  <si>
    <t>재무팀</t>
  </si>
  <si>
    <t>No</t>
  </si>
  <si>
    <t>분류</t>
  </si>
  <si>
    <t>비고</t>
  </si>
  <si>
    <t>인건비</t>
  </si>
  <si>
    <t>고정비</t>
  </si>
  <si>
    <t>월급, 상여금 등</t>
  </si>
  <si>
    <t>광고비</t>
  </si>
  <si>
    <t>변동비</t>
  </si>
  <si>
    <t>홍보, 배너 등</t>
  </si>
  <si>
    <t>연구개발비</t>
  </si>
  <si>
    <t>R&amp;D팀</t>
  </si>
  <si>
    <t>신제품 연구</t>
  </si>
  <si>
    <t>임대료</t>
  </si>
  <si>
    <t>사무실 임차료</t>
  </si>
  <si>
    <t>교육비</t>
  </si>
  <si>
    <t>직무교육, 세미나</t>
  </si>
  <si>
    <t>출장비</t>
  </si>
  <si>
    <t>영업팀</t>
  </si>
  <si>
    <t>국내외 출장</t>
  </si>
  <si>
    <t>예비비</t>
  </si>
  <si>
    <t>긴급 상황 대비</t>
  </si>
  <si>
    <t>잔액</t>
    <phoneticPr fontId="1" type="noConversion"/>
  </si>
  <si>
    <t>예산</t>
    <phoneticPr fontId="1" type="noConversion"/>
  </si>
  <si>
    <t>지출</t>
    <phoneticPr fontId="1" type="noConversion"/>
  </si>
  <si>
    <t>* 예산표입니다. 잔액 20만원 이하 항목을 F4를 이용해서 노란색으로 만들어봅시다.</t>
    <phoneticPr fontId="1" type="noConversion"/>
  </si>
  <si>
    <t>* 빈 셀 선택을 연습해봅시다. 빈 셀에는 '채워주세요!' 라고 써봅시다.</t>
    <phoneticPr fontId="1" type="noConversion"/>
  </si>
  <si>
    <t>국내외 출장</t>
    <phoneticPr fontId="1" type="noConversion"/>
  </si>
  <si>
    <t>* 값 붙여넣기를 써 봅시다.</t>
    <phoneticPr fontId="1" type="noConversion"/>
  </si>
  <si>
    <t>2. 구한 합계를  네모 안에 값 붙여넣기로 입력하세요</t>
    <phoneticPr fontId="1" type="noConversion"/>
  </si>
  <si>
    <t>&lt;--- 1. 잔액 합계를 구해보세요</t>
    <phoneticPr fontId="1" type="noConversion"/>
  </si>
  <si>
    <t>시</t>
    <phoneticPr fontId="1" type="noConversion"/>
  </si>
  <si>
    <t>군</t>
    <phoneticPr fontId="1" type="noConversion"/>
  </si>
  <si>
    <t>하츄도 하트시 뽀송구 캔디동 123번지</t>
  </si>
  <si>
    <t>핑핑광역시 러블시 쁨쁨구 설렘동 45번지</t>
  </si>
  <si>
    <t>샤랄라특별시 스위티시 피치구 반짝동 78번지</t>
  </si>
  <si>
    <t>몽글광역시 마법시 토닥구 꽃잎동 999번지</t>
  </si>
  <si>
    <t>슈가도 하츄시 달콤구 말랑동 101번지</t>
  </si>
  <si>
    <t>주소</t>
    <phoneticPr fontId="1" type="noConversion"/>
  </si>
  <si>
    <t>하츄도</t>
    <phoneticPr fontId="1" type="noConversion"/>
  </si>
  <si>
    <t>핑핑광역시</t>
    <phoneticPr fontId="1" type="noConversion"/>
  </si>
  <si>
    <t>* 스마트채우기 CTRL+E로 주소 시군구 입력해보기</t>
    <phoneticPr fontId="1" type="noConversion"/>
  </si>
  <si>
    <t>3. 빈 셀 선택, 확인</t>
    <phoneticPr fontId="1" type="noConversion"/>
  </si>
  <si>
    <t>4. '채워줘' 입력하고, Ctrl+Enter</t>
    <phoneticPr fontId="1" type="noConversion"/>
  </si>
  <si>
    <t>1. Ctrl+G</t>
    <phoneticPr fontId="1" type="noConversion"/>
  </si>
  <si>
    <t>2. Alt+S 혹은 옵션 클릭</t>
    <phoneticPr fontId="1" type="noConversion"/>
  </si>
  <si>
    <t>5. 글씨 빨간색 변경</t>
    <phoneticPr fontId="1" type="noConversion"/>
  </si>
  <si>
    <t>※ 빈 셀 외에도 다양한 항목을 선택할 수 있습니다. 수식 선택 등.</t>
    <phoneticPr fontId="1" type="noConversion"/>
  </si>
  <si>
    <t>방법</t>
    <phoneticPr fontId="1" type="noConversion"/>
  </si>
  <si>
    <t>응용</t>
    <phoneticPr fontId="1" type="noConversion"/>
  </si>
  <si>
    <t>아래 표는 변동비만 필터링했습니다. 화면에 보이는 셀만 복사하려면 어떻게 할까요?</t>
    <phoneticPr fontId="1" type="noConversion"/>
  </si>
  <si>
    <t>4. 데이터를 입력하는 방법</t>
    <phoneticPr fontId="1" type="noConversion"/>
  </si>
  <si>
    <t>1. 날짜 입력</t>
    <phoneticPr fontId="1" type="noConversion"/>
  </si>
  <si>
    <t>* 오늘 날짜를 직접 입력해보세요.</t>
    <phoneticPr fontId="1" type="noConversion"/>
  </si>
  <si>
    <t>* 함수를 써봅시다.</t>
    <phoneticPr fontId="1" type="noConversion"/>
  </si>
  <si>
    <t>- 내일이 되면, 이 날짜는 자동으로 바뀝니다.</t>
    <phoneticPr fontId="1" type="noConversion"/>
  </si>
  <si>
    <t>* 단축키로 입력해봅시다.</t>
    <phoneticPr fontId="1" type="noConversion"/>
  </si>
  <si>
    <t>* 원하는 형태로 표시해봅시다.</t>
    <phoneticPr fontId="1" type="noConversion"/>
  </si>
  <si>
    <t>2025.1.24.</t>
    <phoneticPr fontId="1" type="noConversion"/>
  </si>
  <si>
    <t>'25.1.24.</t>
    <phoneticPr fontId="1" type="noConversion"/>
  </si>
  <si>
    <t>1.24.(금)</t>
    <phoneticPr fontId="1" type="noConversion"/>
  </si>
  <si>
    <t>1-24</t>
    <phoneticPr fontId="1" type="noConversion"/>
  </si>
  <si>
    <t>2. 시간 입력</t>
    <phoneticPr fontId="1" type="noConversion"/>
  </si>
  <si>
    <t>* 현재시간 직접 입력해보세요.</t>
    <phoneticPr fontId="1" type="noConversion"/>
  </si>
  <si>
    <t>f9를 누르면 확인가능</t>
    <phoneticPr fontId="1" type="noConversion"/>
  </si>
  <si>
    <t>0시 0분</t>
    <phoneticPr fontId="1" type="noConversion"/>
  </si>
  <si>
    <r>
      <t>(hint)</t>
    </r>
    <r>
      <rPr>
        <i/>
        <sz val="11"/>
        <color theme="1" tint="0.499984740745262"/>
        <rFont val="맑은 고딕"/>
        <family val="3"/>
        <charset val="129"/>
        <scheme val="minor"/>
      </rPr>
      <t xml:space="preserve"> [$-ko-KR]</t>
    </r>
    <phoneticPr fontId="1" type="noConversion"/>
  </si>
  <si>
    <t>0. 업무 환경 설정</t>
    <phoneticPr fontId="1" type="noConversion"/>
  </si>
  <si>
    <t>경쟁자들</t>
    <phoneticPr fontId="1" type="noConversion"/>
  </si>
  <si>
    <t>별 하나에 추억과 별 하나에 사랑과</t>
    <phoneticPr fontId="1" type="noConversion"/>
  </si>
  <si>
    <t>* 두 줄로 만들어봅시다.</t>
    <phoneticPr fontId="1" type="noConversion"/>
  </si>
  <si>
    <t>별 하나에 추억과
별 하나에 사랑과</t>
    <phoneticPr fontId="1" type="noConversion"/>
  </si>
  <si>
    <t>* 문자는 사칙연산을 할 수 없습니다.</t>
    <phoneticPr fontId="1" type="noConversion"/>
  </si>
  <si>
    <t>* 근데 이건 왜 될까요</t>
    <phoneticPr fontId="1" type="noConversion"/>
  </si>
  <si>
    <t>1천원</t>
    <phoneticPr fontId="1" type="noConversion"/>
  </si>
  <si>
    <t>2천원</t>
    <phoneticPr fontId="1" type="noConversion"/>
  </si>
  <si>
    <t>3천원</t>
    <phoneticPr fontId="1" type="noConversion"/>
  </si>
  <si>
    <t>5. 문자 관련 함수</t>
    <phoneticPr fontId="1" type="noConversion"/>
  </si>
  <si>
    <t>핑핑광역시 쁨쁨구 설렘동 45번지</t>
    <phoneticPr fontId="1" type="noConversion"/>
  </si>
  <si>
    <t>몽글광역시 토닥구 꽃잎동 999번지</t>
    <phoneticPr fontId="1" type="noConversion"/>
  </si>
  <si>
    <t>시/구</t>
    <phoneticPr fontId="1" type="noConversion"/>
  </si>
  <si>
    <t>시/도 추출</t>
    <phoneticPr fontId="1" type="noConversion"/>
  </si>
  <si>
    <t>1. 함수를 이용하여 문자를 다루는 방법을 알아봅니다.</t>
    <phoneticPr fontId="1" type="noConversion"/>
  </si>
  <si>
    <t>hint</t>
    <phoneticPr fontId="1" type="noConversion"/>
  </si>
  <si>
    <t>3. 텍스트 나누기 기능을 써 봅시다.</t>
    <phoneticPr fontId="1" type="noConversion"/>
  </si>
  <si>
    <t>* 예전에는 위 2번을 중요하게 배웠는데, 이제는 이렇게 합니다.</t>
    <phoneticPr fontId="1" type="noConversion"/>
  </si>
  <si>
    <t>상품 정보 (테이블 1)</t>
  </si>
  <si>
    <t>상품코드</t>
  </si>
  <si>
    <t>상품명</t>
  </si>
  <si>
    <t>단가(원)</t>
  </si>
  <si>
    <t>P001</t>
  </si>
  <si>
    <t>하트크림빵</t>
  </si>
  <si>
    <t>P002</t>
  </si>
  <si>
    <t>장미소보로빵</t>
  </si>
  <si>
    <t>P003</t>
  </si>
  <si>
    <t>딸기치즈빵</t>
  </si>
  <si>
    <t>P004</t>
  </si>
  <si>
    <t>초코슈크림빵</t>
  </si>
  <si>
    <t>P005</t>
  </si>
  <si>
    <t>버터크로와상</t>
  </si>
  <si>
    <t>1. VLOOKUP은 두 테이블의 정보를 하나로 합치는 것입니다.</t>
    <phoneticPr fontId="1" type="noConversion"/>
  </si>
  <si>
    <t>판매 기록 (테이블 2)</t>
  </si>
  <si>
    <t>판매일자</t>
  </si>
  <si>
    <t>판매수량(개)</t>
  </si>
  <si>
    <t>판매수량</t>
    <phoneticPr fontId="1" type="noConversion"/>
  </si>
  <si>
    <t>상품명</t>
    <phoneticPr fontId="1" type="noConversion"/>
  </si>
  <si>
    <t>* 표 단축키 (CTRL + T)</t>
    <phoneticPr fontId="1" type="noConversion"/>
  </si>
  <si>
    <t>구조적참조는 복잡한 함수를 이해하기 쉽게 해줍니다.</t>
    <phoneticPr fontId="1" type="noConversion"/>
  </si>
  <si>
    <t>파워쿼리는 어렵지만.</t>
    <phoneticPr fontId="1" type="noConversion"/>
  </si>
  <si>
    <t>강력합니다.</t>
    <phoneticPr fontId="1" type="noConversion"/>
  </si>
  <si>
    <t>6. (수식)VLOOKUP</t>
    <phoneticPr fontId="1" type="noConversion"/>
  </si>
  <si>
    <t>* 먼저 두 테이블을 표로 만드세요</t>
    <phoneticPr fontId="1" type="noConversion"/>
  </si>
  <si>
    <t>2. (시연만) 구조적 참조를 이용한 VLOOKUP</t>
    <phoneticPr fontId="1" type="noConversion"/>
  </si>
  <si>
    <t>3. (시연) 파워쿼리를 이용한 두 테이블의 조인</t>
    <phoneticPr fontId="1" type="noConversion"/>
  </si>
  <si>
    <t>SUM()</t>
    <phoneticPr fontId="1" type="noConversion"/>
  </si>
  <si>
    <t>SUBTOTAL() - 9</t>
    <phoneticPr fontId="1" type="noConversion"/>
  </si>
  <si>
    <t>SUBTOTAL() - 109</t>
    <phoneticPr fontId="1" type="noConversion"/>
  </si>
  <si>
    <t>심사실</t>
    <phoneticPr fontId="1" type="noConversion"/>
  </si>
  <si>
    <t>기획실</t>
    <phoneticPr fontId="1" type="noConversion"/>
  </si>
  <si>
    <t>장기요양</t>
    <phoneticPr fontId="1" type="noConversion"/>
  </si>
  <si>
    <t>기조실</t>
    <phoneticPr fontId="1" type="noConversion"/>
  </si>
  <si>
    <t>재정실</t>
    <phoneticPr fontId="1" type="noConversion"/>
  </si>
  <si>
    <t>건강보험</t>
    <phoneticPr fontId="1" type="noConversion"/>
  </si>
  <si>
    <t>6. (수식)SUM, SUBTOTAL</t>
    <phoneticPr fontId="1" type="noConversion"/>
  </si>
  <si>
    <t>1. SUM과 SUBTOTAL 차이</t>
    <phoneticPr fontId="1" type="noConversion"/>
  </si>
  <si>
    <t>2. SUBTOTAL 9와 109 차이</t>
    <phoneticPr fontId="1" type="noConversion"/>
  </si>
  <si>
    <t>=SUM(C6:C11)</t>
  </si>
  <si>
    <t>=SUBTOTAL(9,D6:D11)</t>
  </si>
  <si>
    <t>=SUBTOTAL(109,E6:E11)</t>
  </si>
  <si>
    <t>=SUM(C17:C22)</t>
  </si>
  <si>
    <t>=SUBTOTAL(9,D17:D22)</t>
  </si>
  <si>
    <t>=SUBTOTAL(109,E17:E22)</t>
  </si>
  <si>
    <t>=SUM(C6:C7)</t>
  </si>
  <si>
    <t>=SUBTOTAL(9,D6:D7)</t>
  </si>
  <si>
    <t>=SUBTOTAL(109,E6:E7)</t>
  </si>
  <si>
    <t>=SUM(C9:C10)</t>
  </si>
  <si>
    <t>=SUBTOTAL(9,D9:D10)</t>
  </si>
  <si>
    <t>=SUBTOTAL(109,E9:E10)</t>
  </si>
  <si>
    <t>=SUM(C17:C18)</t>
  </si>
  <si>
    <t>=SUBTOTAL(9,D17:D18)</t>
  </si>
  <si>
    <t>=SUBTOTAL(109,E17:E18)</t>
  </si>
  <si>
    <t>=SUM(C20:C21)</t>
  </si>
  <si>
    <t>=SUBTOTAL(9,D20:D21)</t>
  </si>
  <si>
    <t>=SUBTOTAL(109,E20:E21)</t>
  </si>
  <si>
    <t>9. 셀 병합으로 생기는 문제</t>
    <phoneticPr fontId="1" type="noConversion"/>
  </si>
  <si>
    <t>부서</t>
  </si>
  <si>
    <t>총액(원)</t>
  </si>
  <si>
    <t>기획팀</t>
  </si>
  <si>
    <t>1. 분석</t>
    <phoneticPr fontId="1" type="noConversion"/>
  </si>
  <si>
    <t>* 필터도 안되고, 집계도 안되고. 유일한 장점은 가시성.</t>
    <phoneticPr fontId="1" type="noConversion"/>
  </si>
  <si>
    <t>구분</t>
    <phoneticPr fontId="1" type="noConversion"/>
  </si>
  <si>
    <t>지원부</t>
    <phoneticPr fontId="1" type="noConversion"/>
  </si>
  <si>
    <t>현장부</t>
    <phoneticPr fontId="1" type="noConversion"/>
  </si>
  <si>
    <t>* 서로 업무할 때 배려</t>
    <phoneticPr fontId="1" type="noConversion"/>
  </si>
  <si>
    <t>2. 그래도 병합을 해야겠다면</t>
    <phoneticPr fontId="1" type="noConversion"/>
  </si>
  <si>
    <t>('25.1.24.)</t>
    <phoneticPr fontId="1" type="noConversion"/>
  </si>
  <si>
    <t xml:space="preserve"> 2) 셀 병합 하지 말자. (오류방지)</t>
    <phoneticPr fontId="1" type="noConversion"/>
  </si>
  <si>
    <t xml:space="preserve">    - 통계나 현황을 보여주려면 별도 시트에 피벗</t>
    <phoneticPr fontId="1" type="noConversion"/>
  </si>
  <si>
    <t xml:space="preserve"> 3) 그래도 병합하고 싶으면 다른 방법을 쓰자.</t>
    <phoneticPr fontId="1" type="noConversion"/>
  </si>
  <si>
    <t>H~J에 수식이 숨겨져 있습니다.</t>
    <phoneticPr fontId="1" type="noConversion"/>
  </si>
  <si>
    <t xml:space="preserve">아직도 핸드폰에 챗 GPT가 없나요? </t>
    <phoneticPr fontId="1" type="noConversion"/>
  </si>
  <si>
    <t>설치합시다.</t>
    <phoneticPr fontId="1" type="noConversion"/>
  </si>
  <si>
    <t>1. GPT 설치하기</t>
    <phoneticPr fontId="1" type="noConversion"/>
  </si>
  <si>
    <t>2. 리본 메뉴 설정하기</t>
    <phoneticPr fontId="1" type="noConversion"/>
  </si>
  <si>
    <t xml:space="preserve">리본 메뉴는 일종의 단축키입니다. </t>
    <phoneticPr fontId="1" type="noConversion"/>
  </si>
  <si>
    <t>자주 쓰는 메뉴를 저장해두고 바로바로 클릭하여 사용 가능합니다.</t>
    <phoneticPr fontId="1" type="noConversion"/>
  </si>
  <si>
    <t>* 제가 올려둔 메뉴들</t>
    <phoneticPr fontId="1" type="noConversion"/>
  </si>
  <si>
    <t>- (필터 관련) 필터, 지우기, 다시 적용</t>
    <phoneticPr fontId="1" type="noConversion"/>
  </si>
  <si>
    <t>- (정렬 관련) 오름차순, 내림차순</t>
    <phoneticPr fontId="1" type="noConversion"/>
  </si>
  <si>
    <t>3. 매크로 사용을 위한 '개발 도구'</t>
    <phoneticPr fontId="1" type="noConversion"/>
  </si>
  <si>
    <t>개발도구 설정을 해줘야합니다.</t>
    <phoneticPr fontId="1" type="noConversion"/>
  </si>
  <si>
    <t>매크로를 사용하려면</t>
    <phoneticPr fontId="1" type="noConversion"/>
  </si>
  <si>
    <t>노랑도 해바라시 향긋구 로라동 777번지</t>
  </si>
  <si>
    <t>구름도 슬로시 로맨틱구 하늘동 202번지</t>
  </si>
  <si>
    <t>메론도 민트시 아이스크림구 솜사탕동 55번지</t>
  </si>
  <si>
    <t>허니특별시 젤리시 딸기구 스윗동 33번지</t>
  </si>
  <si>
    <t>플로랄도 로즈시 블루밍구 화원동 909번지</t>
  </si>
  <si>
    <t>숨김</t>
    <phoneticPr fontId="1" type="noConversion"/>
  </si>
  <si>
    <t>No</t>
    <phoneticPr fontId="1" type="noConversion"/>
  </si>
  <si>
    <t>3. 날짜와 시간 데이터 심화</t>
    <phoneticPr fontId="1" type="noConversion"/>
  </si>
  <si>
    <t>4. 문자 입력</t>
    <phoneticPr fontId="1" type="noConversion"/>
  </si>
  <si>
    <t>날짜는 사실 정수이고,</t>
    <phoneticPr fontId="1" type="noConversion"/>
  </si>
  <si>
    <t>시간은 소수점 숫자입니다.</t>
    <phoneticPr fontId="1" type="noConversion"/>
  </si>
  <si>
    <t>d+100일 같은것 계산할 수 있습니다.</t>
    <phoneticPr fontId="1" type="noConversion"/>
  </si>
  <si>
    <t>집에 가기까지 남은 날은?</t>
    <phoneticPr fontId="1" type="noConversion"/>
  </si>
  <si>
    <t>(숙제) 2. find(), mid()로 시/구 를 출력해봅시다.</t>
    <phoneticPr fontId="1" type="noConversion"/>
  </si>
  <si>
    <t>* 원하는 형태로 표시해봅시다.(9. 셀표시형식 참고 - 12p)</t>
    <phoneticPr fontId="1" type="noConversion"/>
  </si>
  <si>
    <t>지원부</t>
  </si>
  <si>
    <t>현장부</t>
  </si>
  <si>
    <t>10. 피벗 테이블</t>
    <phoneticPr fontId="1" type="noConversion"/>
  </si>
  <si>
    <t>* 데이터의 집계</t>
    <phoneticPr fontId="1" type="noConversion"/>
  </si>
  <si>
    <t>구분</t>
  </si>
  <si>
    <t>직원명</t>
  </si>
  <si>
    <t>김지원</t>
  </si>
  <si>
    <t>박인사</t>
  </si>
  <si>
    <t>최재무</t>
  </si>
  <si>
    <t>이재무</t>
  </si>
  <si>
    <t>김기획</t>
  </si>
  <si>
    <t>이기획</t>
  </si>
  <si>
    <t>박마케</t>
  </si>
  <si>
    <t>최마케</t>
  </si>
  <si>
    <t>김영업</t>
  </si>
  <si>
    <t>이영업</t>
  </si>
  <si>
    <t>* 피벗테이블을 이용하여,</t>
    <phoneticPr fontId="1" type="noConversion"/>
  </si>
  <si>
    <t>구분(부), 상품별로, 판매수량과 금액을 알아봅시다.</t>
    <phoneticPr fontId="1" type="noConversion"/>
  </si>
  <si>
    <t>* 먼저 함수로 해볼까요?</t>
    <phoneticPr fontId="1" type="noConversion"/>
  </si>
  <si>
    <t>- 피벗테이블은 여기에 표시해봅시다.</t>
    <phoneticPr fontId="1" type="noConversion"/>
  </si>
  <si>
    <t>- 삽입-피벗테이블</t>
    <phoneticPr fontId="1" type="noConversion"/>
  </si>
  <si>
    <t>부서</t>
    <phoneticPr fontId="1" type="noConversion"/>
  </si>
  <si>
    <t>직원명</t>
    <phoneticPr fontId="1" type="noConversion"/>
  </si>
  <si>
    <t>상품코드</t>
    <phoneticPr fontId="1" type="noConversion"/>
  </si>
  <si>
    <t>단가(원)</t>
    <phoneticPr fontId="1" type="noConversion"/>
  </si>
  <si>
    <t>판매수량(개)</t>
    <phoneticPr fontId="1" type="noConversion"/>
  </si>
  <si>
    <t>총액(원)</t>
    <phoneticPr fontId="1" type="noConversion"/>
  </si>
  <si>
    <t>인사팀</t>
    <phoneticPr fontId="1" type="noConversion"/>
  </si>
  <si>
    <t>김지원</t>
    <phoneticPr fontId="1" type="noConversion"/>
  </si>
  <si>
    <t>P001</t>
    <phoneticPr fontId="1" type="noConversion"/>
  </si>
  <si>
    <t>하트크림빵</t>
    <phoneticPr fontId="1" type="noConversion"/>
  </si>
  <si>
    <t>박인사</t>
    <phoneticPr fontId="1" type="noConversion"/>
  </si>
  <si>
    <t>P002</t>
    <phoneticPr fontId="1" type="noConversion"/>
  </si>
  <si>
    <t>장미소보로빵</t>
    <phoneticPr fontId="1" type="noConversion"/>
  </si>
  <si>
    <t>P003</t>
    <phoneticPr fontId="1" type="noConversion"/>
  </si>
  <si>
    <t>딸기치즈빵</t>
    <phoneticPr fontId="1" type="noConversion"/>
  </si>
  <si>
    <t>재무팀</t>
    <phoneticPr fontId="1" type="noConversion"/>
  </si>
  <si>
    <t>최재무</t>
    <phoneticPr fontId="1" type="noConversion"/>
  </si>
  <si>
    <t>P004</t>
    <phoneticPr fontId="1" type="noConversion"/>
  </si>
  <si>
    <t>초코슈크림빵</t>
    <phoneticPr fontId="1" type="noConversion"/>
  </si>
  <si>
    <t>이재무</t>
    <phoneticPr fontId="1" type="noConversion"/>
  </si>
  <si>
    <t>기획팀</t>
    <phoneticPr fontId="1" type="noConversion"/>
  </si>
  <si>
    <t>김기획</t>
    <phoneticPr fontId="1" type="noConversion"/>
  </si>
  <si>
    <t>P005</t>
    <phoneticPr fontId="1" type="noConversion"/>
  </si>
  <si>
    <t>버터크로와상</t>
    <phoneticPr fontId="1" type="noConversion"/>
  </si>
  <si>
    <t>이기획</t>
    <phoneticPr fontId="1" type="noConversion"/>
  </si>
  <si>
    <t>마케팅팀</t>
    <phoneticPr fontId="1" type="noConversion"/>
  </si>
  <si>
    <t>박마케</t>
    <phoneticPr fontId="1" type="noConversion"/>
  </si>
  <si>
    <t>최마케</t>
    <phoneticPr fontId="1" type="noConversion"/>
  </si>
  <si>
    <t>영업팀</t>
    <phoneticPr fontId="1" type="noConversion"/>
  </si>
  <si>
    <t>김영업</t>
    <phoneticPr fontId="1" type="noConversion"/>
  </si>
  <si>
    <t>이영업</t>
    <phoneticPr fontId="1" type="noConversion"/>
  </si>
  <si>
    <t>데이터가 더 구체화된다면? - 직원별 데이터 추가</t>
    <phoneticPr fontId="1" type="noConversion"/>
  </si>
  <si>
    <t>더 구체화된다면? - 판매일자 추가</t>
    <phoneticPr fontId="1" type="noConversion"/>
  </si>
  <si>
    <t>판매처</t>
  </si>
  <si>
    <t>서울역점</t>
  </si>
  <si>
    <t>강남점</t>
  </si>
  <si>
    <t>명동점</t>
  </si>
  <si>
    <t>종로점</t>
  </si>
  <si>
    <t>광화문점</t>
  </si>
  <si>
    <t>대전점</t>
  </si>
  <si>
    <t>부산역점</t>
  </si>
  <si>
    <t>대구점</t>
  </si>
  <si>
    <t>울산점</t>
  </si>
  <si>
    <t>더 구체화된다면? - 판매처가 추가</t>
    <phoneticPr fontId="1" type="noConversion"/>
  </si>
  <si>
    <t>데이터를 분석한다는 것</t>
    <phoneticPr fontId="1" type="noConversion"/>
  </si>
  <si>
    <t>하나의 큰 데이터를 집단별로 쪼개서 보는 것</t>
    <phoneticPr fontId="1" type="noConversion"/>
  </si>
  <si>
    <t>합계 : 총액(원)</t>
  </si>
  <si>
    <t>행 레이블</t>
  </si>
  <si>
    <t>총합계</t>
  </si>
  <si>
    <t>더 세분화시켜서</t>
    <phoneticPr fontId="1" type="noConversion"/>
  </si>
  <si>
    <t>기간별로 볼수도</t>
    <phoneticPr fontId="1" type="noConversion"/>
  </si>
  <si>
    <t>더 나아가</t>
    <phoneticPr fontId="1" type="noConversion"/>
  </si>
  <si>
    <t>데이터를 분석하는 방법</t>
    <phoneticPr fontId="1" type="noConversion"/>
  </si>
  <si>
    <t>다양한 그룹별로 나눠서 수치/비율을 뽑아보는 것</t>
    <phoneticPr fontId="1" type="noConversion"/>
  </si>
  <si>
    <t>11.피벗을 이용한 데이터 분석이 되지 않는 이유</t>
    <phoneticPr fontId="1" type="noConversion"/>
  </si>
  <si>
    <t xml:space="preserve"> (원포인트 솔루션) </t>
  </si>
  <si>
    <t>1. 세로 방향으로 데이터 쌓기가 되지 않기 때문</t>
    <phoneticPr fontId="1" type="noConversion"/>
  </si>
  <si>
    <t>날짜</t>
    <phoneticPr fontId="1" type="noConversion"/>
  </si>
  <si>
    <t>소속</t>
    <phoneticPr fontId="1" type="noConversion"/>
  </si>
  <si>
    <t>1일</t>
    <phoneticPr fontId="1" type="noConversion"/>
  </si>
  <si>
    <t>2일</t>
    <phoneticPr fontId="1" type="noConversion"/>
  </si>
  <si>
    <t>3일</t>
    <phoneticPr fontId="1" type="noConversion"/>
  </si>
  <si>
    <t>4일</t>
    <phoneticPr fontId="1" type="noConversion"/>
  </si>
  <si>
    <t>5일</t>
    <phoneticPr fontId="1" type="noConversion"/>
  </si>
  <si>
    <t>2. 데이터는 이렇게 관리되어야 합니다.</t>
    <phoneticPr fontId="1" type="noConversion"/>
  </si>
  <si>
    <t>가로 방향으로 데이터가 쌓이는 구조</t>
    <phoneticPr fontId="1" type="noConversion"/>
  </si>
  <si>
    <t xml:space="preserve"> - 이미 피벗화된 상태로 데이터를 관리하고 있음</t>
    <phoneticPr fontId="1" type="noConversion"/>
  </si>
  <si>
    <t xml:space="preserve"> - 날짜는 동일한 '속성'이므로, 세로 방향으로 쌓아준다.</t>
    <phoneticPr fontId="1" type="noConversion"/>
  </si>
  <si>
    <t>오빠두엑셀https://www.oppadu.com</t>
  </si>
  <si>
    <t>Power BI &amp; Excel BIhttps://www.youtube.com/PowerBIExcelBI</t>
  </si>
  <si>
    <t>문자, 숫자열 다루기 관련 함수https://seogilang.tistory.com/817</t>
  </si>
  <si>
    <t>정규화의 개념https://ko.wikipedia.org/wiki/데이터베이스_정규화</t>
  </si>
  <si>
    <t>매크로 프로그램 코드www.stackoverflow.com</t>
  </si>
  <si>
    <t>셀 병합 매크로 소스코드 https://www.pk-anexcelexpert.com/vba-quickly-merge-cells-with-same-value-in-excel/</t>
  </si>
  <si>
    <r>
      <t>□</t>
    </r>
    <r>
      <rPr>
        <sz val="12"/>
        <color rgb="FF000000"/>
        <rFont val="맑은 고딕"/>
        <family val="3"/>
        <charset val="129"/>
        <scheme val="minor"/>
      </rPr>
      <t xml:space="preserve"> 참고자료</t>
    </r>
  </si>
  <si>
    <t>1. 일련번호 채우기</t>
    <phoneticPr fontId="1" type="noConversion"/>
  </si>
  <si>
    <t>2. 빠른 채우기</t>
    <phoneticPr fontId="1" type="noConversion"/>
  </si>
  <si>
    <t>* Ctrl+D 로 구분/부서를 빠르게 채울 수 있음</t>
    <phoneticPr fontId="1" type="noConversion"/>
  </si>
  <si>
    <t>(right?)</t>
    <phoneticPr fontId="1" type="noConversion"/>
  </si>
  <si>
    <t>(down?)</t>
    <phoneticPr fontId="1" type="noConversion"/>
  </si>
  <si>
    <t>1) 범위 선택하고</t>
    <phoneticPr fontId="1" type="noConversion"/>
  </si>
  <si>
    <t>2) Ctrl+D</t>
    <phoneticPr fontId="1" type="noConversion"/>
  </si>
  <si>
    <t>3. 스마트 채우기</t>
    <phoneticPr fontId="1" type="noConversion"/>
  </si>
  <si>
    <t xml:space="preserve"> - 연속되지 않은 범위를 선택해서, 한번에 '안녕' 입력해보세요</t>
    <phoneticPr fontId="1" type="noConversion"/>
  </si>
  <si>
    <t>3. 다중 셀 동시입력</t>
    <phoneticPr fontId="1" type="noConversion"/>
  </si>
  <si>
    <t>* F2 사용하여 수식 입력하기</t>
    <phoneticPr fontId="1" type="noConversion"/>
  </si>
  <si>
    <t>주소</t>
  </si>
  <si>
    <t>도로명(ㅇㅇ로) 출력</t>
    <phoneticPr fontId="1" type="noConversion"/>
  </si>
  <si>
    <t>결과물</t>
    <phoneticPr fontId="1" type="noConversion"/>
  </si>
  <si>
    <t>1) gpt를 이용해서, ~~구 를 출력하는 함수를 알려달라 해봅시다.</t>
    <phoneticPr fontId="1" type="noConversion"/>
  </si>
  <si>
    <t>뽀송구</t>
    <phoneticPr fontId="1" type="noConversion"/>
  </si>
  <si>
    <t>쁨쁨구</t>
    <phoneticPr fontId="1" type="noConversion"/>
  </si>
  <si>
    <t>피치뿅구</t>
    <phoneticPr fontId="1" type="noConversion"/>
  </si>
  <si>
    <t>토닥토닥구</t>
    <phoneticPr fontId="1" type="noConversion"/>
  </si>
  <si>
    <t>새콤달콤말랑구</t>
    <phoneticPr fontId="1" type="noConversion"/>
  </si>
  <si>
    <r>
      <t xml:space="preserve">하츄도 하트시 </t>
    </r>
    <r>
      <rPr>
        <b/>
        <sz val="11"/>
        <color theme="4"/>
        <rFont val="맑은 고딕"/>
        <family val="3"/>
        <charset val="129"/>
        <scheme val="minor"/>
      </rPr>
      <t>뽀송구</t>
    </r>
    <r>
      <rPr>
        <b/>
        <sz val="11"/>
        <color theme="1"/>
        <rFont val="맑은 고딕"/>
        <family val="3"/>
        <charset val="129"/>
        <scheme val="minor"/>
      </rPr>
      <t xml:space="preserve"> 캔디동 123번지</t>
    </r>
    <phoneticPr fontId="1" type="noConversion"/>
  </si>
  <si>
    <r>
      <t xml:space="preserve">핑핑광역시 </t>
    </r>
    <r>
      <rPr>
        <b/>
        <sz val="11"/>
        <color theme="5"/>
        <rFont val="맑은 고딕"/>
        <family val="3"/>
        <charset val="129"/>
        <scheme val="minor"/>
      </rPr>
      <t>쁨쁨구</t>
    </r>
    <r>
      <rPr>
        <b/>
        <sz val="11"/>
        <color theme="1"/>
        <rFont val="맑은 고딕"/>
        <family val="3"/>
        <charset val="129"/>
        <scheme val="minor"/>
      </rPr>
      <t xml:space="preserve"> 설렘동 45번지</t>
    </r>
    <phoneticPr fontId="1" type="noConversion"/>
  </si>
  <si>
    <r>
      <t xml:space="preserve">샤랄라특별시 스위티시 </t>
    </r>
    <r>
      <rPr>
        <b/>
        <sz val="11"/>
        <color theme="5"/>
        <rFont val="맑은 고딕"/>
        <family val="3"/>
        <charset val="129"/>
        <scheme val="minor"/>
      </rPr>
      <t>피치뿅구</t>
    </r>
    <r>
      <rPr>
        <b/>
        <sz val="11"/>
        <color theme="1"/>
        <rFont val="맑은 고딕"/>
        <family val="3"/>
        <charset val="129"/>
        <scheme val="minor"/>
      </rPr>
      <t xml:space="preserve"> 반짝동 78번지</t>
    </r>
    <phoneticPr fontId="1" type="noConversion"/>
  </si>
  <si>
    <r>
      <t xml:space="preserve">몽글광역시 </t>
    </r>
    <r>
      <rPr>
        <b/>
        <sz val="11"/>
        <color theme="5"/>
        <rFont val="맑은 고딕"/>
        <family val="3"/>
        <charset val="129"/>
        <scheme val="minor"/>
      </rPr>
      <t>토닥토닥구</t>
    </r>
    <r>
      <rPr>
        <b/>
        <sz val="11"/>
        <color theme="1"/>
        <rFont val="맑은 고딕"/>
        <family val="3"/>
        <charset val="129"/>
        <scheme val="minor"/>
      </rPr>
      <t xml:space="preserve"> 꽃잎동 999번지</t>
    </r>
    <phoneticPr fontId="1" type="noConversion"/>
  </si>
  <si>
    <r>
      <t xml:space="preserve">슈가도 하츄시 </t>
    </r>
    <r>
      <rPr>
        <b/>
        <sz val="11"/>
        <color theme="5"/>
        <rFont val="맑은 고딕"/>
        <family val="3"/>
        <charset val="129"/>
        <scheme val="minor"/>
      </rPr>
      <t>새콤달콤말랑구</t>
    </r>
    <r>
      <rPr>
        <b/>
        <sz val="11"/>
        <color theme="1"/>
        <rFont val="맑은 고딕"/>
        <family val="3"/>
        <charset val="129"/>
        <scheme val="minor"/>
      </rPr>
      <t xml:space="preserve"> 말랑동 101번지</t>
    </r>
    <phoneticPr fontId="1" type="noConversion"/>
  </si>
  <si>
    <t>매출액</t>
    <phoneticPr fontId="1" type="noConversion"/>
  </si>
  <si>
    <r>
      <t>□</t>
    </r>
    <r>
      <rPr>
        <sz val="12"/>
        <color rgb="FF000000"/>
        <rFont val="맑은 고딕"/>
        <family val="3"/>
        <charset val="129"/>
        <scheme val="minor"/>
      </rPr>
      <t xml:space="preserve"> 참고자료</t>
    </r>
    <phoneticPr fontId="1" type="noConversion"/>
  </si>
  <si>
    <t xml:space="preserve"> 1) 필터는 만들어서 뿌리자. (작은 디테일) + 이중헤더인 경우 더 문제</t>
    <phoneticPr fontId="1" type="noConversion"/>
  </si>
  <si>
    <t>03월 매출현황표</t>
    <phoneticPr fontId="1" type="noConversion"/>
  </si>
  <si>
    <t>영업1팀</t>
    <phoneticPr fontId="1" type="noConversion"/>
  </si>
  <si>
    <t>영업2팀</t>
    <phoneticPr fontId="1" type="noConversion"/>
  </si>
  <si>
    <t>영업3팀</t>
    <phoneticPr fontId="1" type="noConversion"/>
  </si>
  <si>
    <t>일매출</t>
    <phoneticPr fontId="1" type="noConversion"/>
  </si>
  <si>
    <t>매출</t>
    <phoneticPr fontId="1" type="noConversion"/>
  </si>
  <si>
    <t>심술핑</t>
    <phoneticPr fontId="1" type="noConversion"/>
  </si>
  <si>
    <t>꼬부기</t>
    <phoneticPr fontId="1" type="noConversion"/>
  </si>
  <si>
    <t>솔찌핑</t>
    <phoneticPr fontId="1" type="noConversion"/>
  </si>
  <si>
    <t>꾸래핑</t>
    <phoneticPr fontId="1" type="noConversion"/>
  </si>
  <si>
    <t>새콤핑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</si>
</sst>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mm&quot;월&quot;\ dd&quot;일&quot;"/>
    <numFmt numFmtId="177" formatCode="[$-F400]h:mm:ss\ AM/PM"/>
    <numFmt numFmtId="178" formatCode="yyyy&quot;년&quot;\ m&quot;월&quot;\ d&quot;일&quot;;@"/>
    <numFmt numFmtId="179" formatCode="#,&quot;천&quot;&quot;원&quot;"/>
    <numFmt numFmtId="180" formatCode="0.0000_);[Red]\(0.0000\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i/>
      <sz val="11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12"/>
      <color rgb="FF262626"/>
      <name val="KoPub돋움체 Light"/>
      <family val="3"/>
      <charset val="129"/>
    </font>
    <font>
      <b/>
      <sz val="13.5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6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5" fillId="0" borderId="0" xfId="0" applyFont="1">
      <alignment vertical="center"/>
    </xf>
    <xf numFmtId="0" fontId="5" fillId="7" borderId="2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0" fillId="0" borderId="12" xfId="0" applyNumberFormat="1" applyBorder="1" applyAlignment="1">
      <alignment vertical="center" wrapText="1"/>
    </xf>
    <xf numFmtId="0" fontId="2" fillId="0" borderId="7" xfId="0" applyFont="1" applyBorder="1">
      <alignment vertical="center"/>
    </xf>
    <xf numFmtId="0" fontId="6" fillId="0" borderId="14" xfId="0" applyFont="1" applyBorder="1">
      <alignment vertical="center"/>
    </xf>
    <xf numFmtId="0" fontId="0" fillId="0" borderId="13" xfId="0" applyBorder="1">
      <alignment vertical="center"/>
    </xf>
    <xf numFmtId="0" fontId="2" fillId="0" borderId="0" xfId="0" applyFont="1" applyAlignment="1">
      <alignment horizontal="left" vertical="center"/>
    </xf>
    <xf numFmtId="0" fontId="0" fillId="0" borderId="15" xfId="0" applyBorder="1">
      <alignment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0" fillId="0" borderId="2" xfId="0" applyBorder="1">
      <alignment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  <xf numFmtId="177" fontId="0" fillId="0" borderId="0" xfId="0" applyNumberFormat="1">
      <alignment vertical="center"/>
    </xf>
    <xf numFmtId="178" fontId="10" fillId="0" borderId="0" xfId="0" quotePrefix="1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79" fontId="0" fillId="0" borderId="4" xfId="0" applyNumberFormat="1" applyBorder="1">
      <alignment vertical="center"/>
    </xf>
    <xf numFmtId="179" fontId="0" fillId="0" borderId="17" xfId="0" applyNumberFormat="1" applyBorder="1">
      <alignment vertical="center"/>
    </xf>
    <xf numFmtId="179" fontId="0" fillId="0" borderId="6" xfId="0" applyNumberFormat="1" applyBorder="1">
      <alignment vertical="center"/>
    </xf>
    <xf numFmtId="0" fontId="0" fillId="2" borderId="6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18" xfId="0" applyFont="1" applyBorder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9" xfId="0" applyFont="1" applyBorder="1">
      <alignment vertical="center"/>
    </xf>
    <xf numFmtId="0" fontId="12" fillId="0" borderId="0" xfId="0" applyFo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8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>
      <alignment vertical="center"/>
    </xf>
    <xf numFmtId="3" fontId="0" fillId="0" borderId="1" xfId="0" applyNumberFormat="1" applyBorder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0" xfId="0" applyFont="1" applyFill="1">
      <alignment vertical="center"/>
    </xf>
    <xf numFmtId="0" fontId="0" fillId="11" borderId="0" xfId="0" applyFill="1">
      <alignment vertical="center"/>
    </xf>
    <xf numFmtId="0" fontId="5" fillId="11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3" fontId="2" fillId="12" borderId="1" xfId="0" applyNumberFormat="1" applyFon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7" borderId="8" xfId="0" applyFill="1" applyBorder="1">
      <alignment vertical="center"/>
    </xf>
    <xf numFmtId="0" fontId="0" fillId="0" borderId="0" xfId="0" applyAlignment="1">
      <alignment horizontal="right" vertical="center"/>
    </xf>
    <xf numFmtId="180" fontId="0" fillId="0" borderId="2" xfId="0" applyNumberFormat="1" applyBorder="1">
      <alignment vertical="center"/>
    </xf>
    <xf numFmtId="18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0" borderId="0" xfId="1" applyNumberFormat="1" applyFont="1">
      <alignment vertical="center"/>
    </xf>
    <xf numFmtId="3" fontId="0" fillId="0" borderId="0" xfId="0" applyNumberFormat="1">
      <alignment vertical="center"/>
    </xf>
    <xf numFmtId="0" fontId="5" fillId="0" borderId="1" xfId="0" applyFont="1" applyBorder="1">
      <alignment vertical="center"/>
    </xf>
    <xf numFmtId="41" fontId="5" fillId="0" borderId="1" xfId="1" applyFont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pivotButton="1">
      <alignment vertical="center"/>
    </xf>
    <xf numFmtId="14" fontId="0" fillId="0" borderId="0" xfId="0" applyNumberFormat="1" applyAlignment="1">
      <alignment horizontal="left" vertical="center"/>
    </xf>
    <xf numFmtId="0" fontId="4" fillId="0" borderId="0" xfId="0" applyFont="1">
      <alignment vertical="center"/>
    </xf>
    <xf numFmtId="0" fontId="2" fillId="13" borderId="0" xfId="0" applyFont="1" applyFill="1">
      <alignment vertical="center"/>
    </xf>
    <xf numFmtId="0" fontId="0" fillId="13" borderId="0" xfId="0" applyFill="1">
      <alignment vertical="center"/>
    </xf>
    <xf numFmtId="0" fontId="4" fillId="14" borderId="0" xfId="0" applyFont="1" applyFill="1">
      <alignment vertical="center"/>
    </xf>
    <xf numFmtId="0" fontId="0" fillId="14" borderId="0" xfId="0" applyFill="1">
      <alignment vertical="center"/>
    </xf>
    <xf numFmtId="0" fontId="2" fillId="14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1" xfId="1" applyNumberFormat="1" applyFont="1" applyFill="1" applyBorder="1" applyAlignment="1">
      <alignment horizontal="center" vertical="center"/>
    </xf>
    <xf numFmtId="41" fontId="2" fillId="10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41" fontId="0" fillId="0" borderId="1" xfId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1" fontId="17" fillId="0" borderId="1" xfId="1" applyFont="1" applyBorder="1" applyAlignment="1">
      <alignment horizontal="right" vertical="center"/>
    </xf>
    <xf numFmtId="0" fontId="2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justify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2" fillId="17" borderId="0" xfId="0" applyFont="1" applyFill="1">
      <alignment vertical="center"/>
    </xf>
    <xf numFmtId="0" fontId="4" fillId="17" borderId="0" xfId="0" applyFont="1" applyFill="1">
      <alignment vertical="center"/>
    </xf>
    <xf numFmtId="0" fontId="0" fillId="17" borderId="0" xfId="0" applyFill="1">
      <alignment vertical="center"/>
    </xf>
    <xf numFmtId="0" fontId="2" fillId="18" borderId="3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8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0" borderId="0" xfId="0" quotePrefix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[250124 엑셀 연습 파일.xlsx]13데이터분석!피벗 테이블17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'13데이터분석'!$N$34</c:f>
              <c:strCache>
                <c:ptCount val="1"/>
                <c:pt idx="0">
                  <c:v>요약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'13데이터분석'!$M$35:$M$43</c:f>
              <c:strCache>
                <c:ptCount val="8"/>
                <c:pt idx="0">
                  <c:v>2025-01-01</c:v>
                </c:pt>
                <c:pt idx="1">
                  <c:v>2025-01-03</c:v>
                </c:pt>
                <c:pt idx="2">
                  <c:v>2025-01-05</c:v>
                </c:pt>
                <c:pt idx="3">
                  <c:v>2025-01-07</c:v>
                </c:pt>
                <c:pt idx="4">
                  <c:v>2025-01-09</c:v>
                </c:pt>
                <c:pt idx="5">
                  <c:v>2025-01-11</c:v>
                </c:pt>
                <c:pt idx="6">
                  <c:v>2025-01-13</c:v>
                </c:pt>
                <c:pt idx="7">
                  <c:v>2025-01-15</c:v>
                </c:pt>
              </c:strCache>
            </c:strRef>
          </c:cat>
          <c:val>
            <c:numRef>
              <c:f>'13데이터분석'!$N$35:$N$43</c:f>
              <c:numCache>
                <c:formatCode>#,##0</c:formatCode>
                <c:ptCount val="8"/>
                <c:pt idx="0">
                  <c:v>375000</c:v>
                </c:pt>
                <c:pt idx="1">
                  <c:v>175000</c:v>
                </c:pt>
                <c:pt idx="2">
                  <c:v>252000</c:v>
                </c:pt>
                <c:pt idx="3">
                  <c:v>210000</c:v>
                </c:pt>
                <c:pt idx="4">
                  <c:v>275000</c:v>
                </c:pt>
                <c:pt idx="5">
                  <c:v>220000</c:v>
                </c:pt>
                <c:pt idx="6">
                  <c:v>280000</c:v>
                </c:pt>
                <c:pt idx="7">
                  <c:v>357000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9-4C33-BD21-FF66FD63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051407"/>
        <c:axId val="380052367"/>
      </c:lineChart>
      <c:catAx>
        <c:axId val="3800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052367"/>
        <c:crosses val="autoZero"/>
        <c:auto val="1"/>
        <c:lblAlgn val="ctr"/>
        <c:lblOffset val="100"/>
        <c:noMultiLvlLbl val="0"/>
      </c:catAx>
      <c:valAx>
        <c:axId val="3800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05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[250124 엑셀 연습 파일.xlsx]13데이터분석!피벗 테이블17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'13데이터분석'!$N$34</c:f>
              <c:strCache>
                <c:ptCount val="1"/>
                <c:pt idx="0">
                  <c:v>요약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'13데이터분석'!$M$35:$M$43</c:f>
              <c:strCache>
                <c:ptCount val="8"/>
                <c:pt idx="0">
                  <c:v>2025-01-01</c:v>
                </c:pt>
                <c:pt idx="1">
                  <c:v>2025-01-03</c:v>
                </c:pt>
                <c:pt idx="2">
                  <c:v>2025-01-05</c:v>
                </c:pt>
                <c:pt idx="3">
                  <c:v>2025-01-07</c:v>
                </c:pt>
                <c:pt idx="4">
                  <c:v>2025-01-09</c:v>
                </c:pt>
                <c:pt idx="5">
                  <c:v>2025-01-11</c:v>
                </c:pt>
                <c:pt idx="6">
                  <c:v>2025-01-13</c:v>
                </c:pt>
                <c:pt idx="7">
                  <c:v>2025-01-15</c:v>
                </c:pt>
              </c:strCache>
            </c:strRef>
          </c:cat>
          <c:val>
            <c:numRef>
              <c:f>'13데이터분석'!$N$35:$N$43</c:f>
              <c:numCache>
                <c:formatCode>#,##0</c:formatCode>
                <c:ptCount val="8"/>
                <c:pt idx="0">
                  <c:v>375000</c:v>
                </c:pt>
                <c:pt idx="1">
                  <c:v>175000</c:v>
                </c:pt>
                <c:pt idx="2">
                  <c:v>252000</c:v>
                </c:pt>
                <c:pt idx="3">
                  <c:v>210000</c:v>
                </c:pt>
                <c:pt idx="4">
                  <c:v>275000</c:v>
                </c:pt>
                <c:pt idx="5">
                  <c:v>220000</c:v>
                </c:pt>
                <c:pt idx="6">
                  <c:v>280000</c:v>
                </c:pt>
                <c:pt idx="7">
                  <c:v>357000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0-4682-8B0D-00EA7C17C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051407"/>
        <c:axId val="380052367"/>
      </c:lineChart>
      <c:catAx>
        <c:axId val="3800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052367"/>
        <c:crosses val="autoZero"/>
        <c:auto val="1"/>
        <c:lblAlgn val="ctr"/>
        <c:lblOffset val="100"/>
        <c:noMultiLvlLbl val="0"/>
      </c:catAx>
      <c:valAx>
        <c:axId val="3800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05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3.jpeg"/><Relationship Id="rId1" Type="http://schemas.openxmlformats.org/officeDocument/2006/relationships/image" Target="../media/image12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5</xdr:row>
      <xdr:rowOff>1</xdr:rowOff>
    </xdr:from>
    <xdr:to>
      <xdr:col>2</xdr:col>
      <xdr:colOff>487942</xdr:colOff>
      <xdr:row>9</xdr:row>
      <xdr:rowOff>196775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F537763-98C2-0EBD-4B1C-1DFA63B91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" y="883921"/>
          <a:ext cx="1120402" cy="1089659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495301</xdr:colOff>
      <xdr:row>5</xdr:row>
      <xdr:rowOff>38100</xdr:rowOff>
    </xdr:from>
    <xdr:to>
      <xdr:col>5</xdr:col>
      <xdr:colOff>484887</xdr:colOff>
      <xdr:row>9</xdr:row>
      <xdr:rowOff>165579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EA03C9-58B2-FCE8-0CD6-9B97C6E91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6421" y="922020"/>
          <a:ext cx="2001266" cy="1020364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10</xdr:row>
      <xdr:rowOff>15240</xdr:rowOff>
    </xdr:from>
    <xdr:to>
      <xdr:col>9</xdr:col>
      <xdr:colOff>636495</xdr:colOff>
      <xdr:row>19</xdr:row>
      <xdr:rowOff>205153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AA1AB59-8141-4EE2-6E9C-B74C28E02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833" y="2032299"/>
          <a:ext cx="5984838" cy="22069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528651</xdr:colOff>
      <xdr:row>37</xdr:row>
      <xdr:rowOff>15753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FDB333-6FD1-7121-F1A4-F2A915BD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9235" y="4903304"/>
          <a:ext cx="4544059" cy="3077004"/>
        </a:xfrm>
        <a:prstGeom prst="rect">
          <a:avLst/>
        </a:prstGeom>
      </xdr:spPr>
    </xdr:pic>
    <xdr:clientData/>
  </xdr:twoCellAnchor>
  <xdr:twoCellAnchor editAs="oneCell">
    <xdr:from>
      <xdr:col>2</xdr:col>
      <xdr:colOff>26894</xdr:colOff>
      <xdr:row>48</xdr:row>
      <xdr:rowOff>53791</xdr:rowOff>
    </xdr:from>
    <xdr:to>
      <xdr:col>4</xdr:col>
      <xdr:colOff>631954</xdr:colOff>
      <xdr:row>58</xdr:row>
      <xdr:rowOff>150773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80EB4A-12B5-1C57-07EB-51FCE3129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10990732"/>
          <a:ext cx="1949766" cy="2338158"/>
        </a:xfrm>
        <a:prstGeom prst="rect">
          <a:avLst/>
        </a:prstGeom>
      </xdr:spPr>
    </xdr:pic>
    <xdr:clientData/>
  </xdr:twoCellAnchor>
  <xdr:twoCellAnchor editAs="oneCell">
    <xdr:from>
      <xdr:col>6</xdr:col>
      <xdr:colOff>26895</xdr:colOff>
      <xdr:row>48</xdr:row>
      <xdr:rowOff>44826</xdr:rowOff>
    </xdr:from>
    <xdr:to>
      <xdr:col>11</xdr:col>
      <xdr:colOff>256557</xdr:colOff>
      <xdr:row>55</xdr:row>
      <xdr:rowOff>19268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D36ED38-1CEB-C538-D91A-5FE44845B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1013" y="10981767"/>
          <a:ext cx="3591426" cy="1543265"/>
        </a:xfrm>
        <a:prstGeom prst="rect">
          <a:avLst/>
        </a:prstGeom>
      </xdr:spPr>
    </xdr:pic>
    <xdr:clientData/>
  </xdr:twoCellAnchor>
  <xdr:twoCellAnchor editAs="oneCell">
    <xdr:from>
      <xdr:col>5</xdr:col>
      <xdr:colOff>35859</xdr:colOff>
      <xdr:row>62</xdr:row>
      <xdr:rowOff>8965</xdr:rowOff>
    </xdr:from>
    <xdr:to>
      <xdr:col>11</xdr:col>
      <xdr:colOff>2825533</xdr:colOff>
      <xdr:row>84</xdr:row>
      <xdr:rowOff>8963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8391200-4145-2E82-FC77-72326BAA9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97624" y="14800730"/>
          <a:ext cx="6823791" cy="4930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182880</xdr:rowOff>
    </xdr:from>
    <xdr:to>
      <xdr:col>5</xdr:col>
      <xdr:colOff>415442</xdr:colOff>
      <xdr:row>8</xdr:row>
      <xdr:rowOff>198184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E6FCEC-ACA0-31FF-2E0C-C5F91E2C7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" y="1577340"/>
          <a:ext cx="1086002" cy="457264"/>
        </a:xfrm>
        <a:prstGeom prst="rect">
          <a:avLst/>
        </a:prstGeom>
      </xdr:spPr>
    </xdr:pic>
    <xdr:clientData/>
  </xdr:twoCellAnchor>
  <xdr:twoCellAnchor>
    <xdr:from>
      <xdr:col>5</xdr:col>
      <xdr:colOff>320040</xdr:colOff>
      <xdr:row>8</xdr:row>
      <xdr:rowOff>144780</xdr:rowOff>
    </xdr:from>
    <xdr:to>
      <xdr:col>6</xdr:col>
      <xdr:colOff>0</xdr:colOff>
      <xdr:row>9</xdr:row>
      <xdr:rowOff>91440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9475ADA3-1717-BA71-A00C-B454BFBA2BB4}"/>
            </a:ext>
          </a:extLst>
        </xdr:cNvPr>
        <xdr:cNvCxnSpPr/>
      </xdr:nvCxnSpPr>
      <xdr:spPr>
        <a:xfrm flipH="1" flipV="1">
          <a:off x="3672840" y="1988820"/>
          <a:ext cx="350520" cy="16764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25</xdr:row>
      <xdr:rowOff>1</xdr:rowOff>
    </xdr:from>
    <xdr:to>
      <xdr:col>10</xdr:col>
      <xdr:colOff>662940</xdr:colOff>
      <xdr:row>30</xdr:row>
      <xdr:rowOff>200379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06A4A8-A382-A08A-1F36-A9C5331B4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5040" y="5638801"/>
          <a:ext cx="1333500" cy="1305278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25</xdr:row>
      <xdr:rowOff>1</xdr:rowOff>
    </xdr:from>
    <xdr:to>
      <xdr:col>13</xdr:col>
      <xdr:colOff>632461</xdr:colOff>
      <xdr:row>30</xdr:row>
      <xdr:rowOff>198121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C0D6DF4-9C15-084A-255F-CCF8F4878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2241" y="5638801"/>
          <a:ext cx="1303020" cy="1303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45721</xdr:colOff>
      <xdr:row>36</xdr:row>
      <xdr:rowOff>30480</xdr:rowOff>
    </xdr:from>
    <xdr:to>
      <xdr:col>13</xdr:col>
      <xdr:colOff>655321</xdr:colOff>
      <xdr:row>50</xdr:row>
      <xdr:rowOff>154907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1CCD12F-3681-9800-5D71-BD24BA75F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1" y="8290560"/>
          <a:ext cx="2651760" cy="25552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37</xdr:row>
      <xdr:rowOff>129540</xdr:rowOff>
    </xdr:from>
    <xdr:to>
      <xdr:col>0</xdr:col>
      <xdr:colOff>297180</xdr:colOff>
      <xdr:row>39</xdr:row>
      <xdr:rowOff>83820</xdr:rowOff>
    </xdr:to>
    <xdr:sp macro="" textlink="">
      <xdr:nvSpPr>
        <xdr:cNvPr id="2" name="화살표: 왼쪽 1">
          <a:extLst>
            <a:ext uri="{FF2B5EF4-FFF2-40B4-BE49-F238E27FC236}">
              <a16:creationId xmlns:a16="http://schemas.microsoft.com/office/drawing/2014/main" id="{4A49B4F0-9F00-D78B-1BAA-C66EAD49B361}"/>
            </a:ext>
          </a:extLst>
        </xdr:cNvPr>
        <xdr:cNvSpPr/>
      </xdr:nvSpPr>
      <xdr:spPr>
        <a:xfrm>
          <a:off x="38100" y="8610600"/>
          <a:ext cx="259080" cy="175260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0</xdr:col>
      <xdr:colOff>38100</xdr:colOff>
      <xdr:row>40</xdr:row>
      <xdr:rowOff>144780</xdr:rowOff>
    </xdr:from>
    <xdr:to>
      <xdr:col>0</xdr:col>
      <xdr:colOff>297180</xdr:colOff>
      <xdr:row>42</xdr:row>
      <xdr:rowOff>99060</xdr:rowOff>
    </xdr:to>
    <xdr:sp macro="" textlink="">
      <xdr:nvSpPr>
        <xdr:cNvPr id="3" name="화살표: 왼쪽 2">
          <a:extLst>
            <a:ext uri="{FF2B5EF4-FFF2-40B4-BE49-F238E27FC236}">
              <a16:creationId xmlns:a16="http://schemas.microsoft.com/office/drawing/2014/main" id="{2F15EB72-F31F-791B-53D9-02937F4DD6E0}"/>
            </a:ext>
          </a:extLst>
        </xdr:cNvPr>
        <xdr:cNvSpPr/>
      </xdr:nvSpPr>
      <xdr:spPr>
        <a:xfrm>
          <a:off x="38100" y="9067800"/>
          <a:ext cx="259080" cy="175260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17</xdr:row>
      <xdr:rowOff>0</xdr:rowOff>
    </xdr:from>
    <xdr:to>
      <xdr:col>8</xdr:col>
      <xdr:colOff>60064</xdr:colOff>
      <xdr:row>18</xdr:row>
      <xdr:rowOff>50203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23760D7A-7A3A-4D1D-9E7C-219F5F518E3B}"/>
            </a:ext>
          </a:extLst>
        </xdr:cNvPr>
        <xdr:cNvSpPr/>
      </xdr:nvSpPr>
      <xdr:spPr>
        <a:xfrm>
          <a:off x="2697480" y="3324561"/>
          <a:ext cx="2727064" cy="299422"/>
        </a:xfrm>
        <a:prstGeom prst="rightArrow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6</xdr:col>
      <xdr:colOff>164501</xdr:colOff>
      <xdr:row>27</xdr:row>
      <xdr:rowOff>48859</xdr:rowOff>
    </xdr:from>
    <xdr:to>
      <xdr:col>7</xdr:col>
      <xdr:colOff>3136</xdr:colOff>
      <xdr:row>41</xdr:row>
      <xdr:rowOff>1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BDC666FA-12F6-4840-A528-2E233D44163B}"/>
            </a:ext>
          </a:extLst>
        </xdr:cNvPr>
        <xdr:cNvSpPr/>
      </xdr:nvSpPr>
      <xdr:spPr>
        <a:xfrm rot="5400000">
          <a:off x="3358178" y="7454602"/>
          <a:ext cx="3044862" cy="684455"/>
        </a:xfrm>
        <a:prstGeom prst="rightArrow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</xdr:colOff>
      <xdr:row>22</xdr:row>
      <xdr:rowOff>1</xdr:rowOff>
    </xdr:from>
    <xdr:ext cx="3177540" cy="1805940"/>
    <xdr:pic>
      <xdr:nvPicPr>
        <xdr:cNvPr id="3" name="그림 2">
          <a:extLst>
            <a:ext uri="{FF2B5EF4-FFF2-40B4-BE49-F238E27FC236}">
              <a16:creationId xmlns:a16="http://schemas.microsoft.com/office/drawing/2014/main" id="{071143CF-68A4-4725-96B5-BC98F7DB8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" y="24932641"/>
          <a:ext cx="3177540" cy="18059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192780" cy="1329142"/>
    <xdr:pic>
      <xdr:nvPicPr>
        <xdr:cNvPr id="4" name="그림 3">
          <a:extLst>
            <a:ext uri="{FF2B5EF4-FFF2-40B4-BE49-F238E27FC236}">
              <a16:creationId xmlns:a16="http://schemas.microsoft.com/office/drawing/2014/main" id="{9ED47447-1383-4000-89CB-25E62ABF0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1120" y="22943820"/>
          <a:ext cx="3192780" cy="1329142"/>
        </a:xfrm>
        <a:prstGeom prst="rect">
          <a:avLst/>
        </a:prstGeom>
      </xdr:spPr>
    </xdr:pic>
    <xdr:clientData/>
  </xdr:oneCellAnchor>
  <xdr:twoCellAnchor>
    <xdr:from>
      <xdr:col>2</xdr:col>
      <xdr:colOff>26670</xdr:colOff>
      <xdr:row>33</xdr:row>
      <xdr:rowOff>205740</xdr:rowOff>
    </xdr:from>
    <xdr:to>
      <xdr:col>9</xdr:col>
      <xdr:colOff>579120</xdr:colOff>
      <xdr:row>46</xdr:row>
      <xdr:rowOff>106680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CF02B06-A67D-4589-BAB4-2191B25F4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26670</xdr:colOff>
      <xdr:row>54</xdr:row>
      <xdr:rowOff>205740</xdr:rowOff>
    </xdr:from>
    <xdr:to>
      <xdr:col>9</xdr:col>
      <xdr:colOff>579120</xdr:colOff>
      <xdr:row>67</xdr:row>
      <xdr:rowOff>106680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ED72777-9223-4047-96CC-E68A16941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69755</xdr:colOff>
      <xdr:row>53</xdr:row>
      <xdr:rowOff>210291</xdr:rowOff>
    </xdr:from>
    <xdr:to>
      <xdr:col>10</xdr:col>
      <xdr:colOff>733476</xdr:colOff>
      <xdr:row>57</xdr:row>
      <xdr:rowOff>162790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8159E228-1CD2-4C13-A3D7-10A059E89347}"/>
            </a:ext>
          </a:extLst>
        </xdr:cNvPr>
        <xdr:cNvSpPr/>
      </xdr:nvSpPr>
      <xdr:spPr>
        <a:xfrm rot="15321683">
          <a:off x="7489106" y="30548040"/>
          <a:ext cx="836419" cy="1517161"/>
        </a:xfrm>
        <a:prstGeom prst="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9</xdr:col>
      <xdr:colOff>114300</xdr:colOff>
      <xdr:row>52</xdr:row>
      <xdr:rowOff>205740</xdr:rowOff>
    </xdr:from>
    <xdr:to>
      <xdr:col>10</xdr:col>
      <xdr:colOff>670560</xdr:colOff>
      <xdr:row>56</xdr:row>
      <xdr:rowOff>137160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D6B7BB3F-404E-47E4-B7FD-061069A89C32}"/>
            </a:ext>
          </a:extLst>
        </xdr:cNvPr>
        <xdr:cNvCxnSpPr/>
      </xdr:nvCxnSpPr>
      <xdr:spPr>
        <a:xfrm flipV="1">
          <a:off x="7193280" y="30662880"/>
          <a:ext cx="1409700" cy="815340"/>
        </a:xfrm>
        <a:prstGeom prst="line">
          <a:avLst/>
        </a:prstGeom>
        <a:ln w="28575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99060</xdr:colOff>
      <xdr:row>56</xdr:row>
      <xdr:rowOff>178485</xdr:rowOff>
    </xdr:from>
    <xdr:to>
      <xdr:col>10</xdr:col>
      <xdr:colOff>814542</xdr:colOff>
      <xdr:row>56</xdr:row>
      <xdr:rowOff>182880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B235C29-DD8B-4A58-A154-A1A52DA03D1B}"/>
            </a:ext>
          </a:extLst>
        </xdr:cNvPr>
        <xdr:cNvCxnSpPr>
          <a:endCxn id="7" idx="2"/>
        </xdr:cNvCxnSpPr>
      </xdr:nvCxnSpPr>
      <xdr:spPr>
        <a:xfrm flipV="1">
          <a:off x="7178040" y="31519545"/>
          <a:ext cx="1568922" cy="4395"/>
        </a:xfrm>
        <a:prstGeom prst="line">
          <a:avLst/>
        </a:prstGeom>
        <a:ln w="28575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167640</xdr:colOff>
      <xdr:row>54</xdr:row>
      <xdr:rowOff>167640</xdr:rowOff>
    </xdr:from>
    <xdr:to>
      <xdr:col>11</xdr:col>
      <xdr:colOff>129540</xdr:colOff>
      <xdr:row>56</xdr:row>
      <xdr:rowOff>99060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97400DDB-316D-4C64-90BA-595CC58F24AA}"/>
            </a:ext>
          </a:extLst>
        </xdr:cNvPr>
        <xdr:cNvSpPr txBox="1"/>
      </xdr:nvSpPr>
      <xdr:spPr>
        <a:xfrm>
          <a:off x="8100060" y="31066740"/>
          <a:ext cx="998220" cy="37338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ko-KR" altLang="en-US" sz="1100" kern="1200"/>
            <a:t>예상</a:t>
          </a:r>
          <a:endParaRPr lang="en-US" altLang="ko-KR" sz="1100" kern="1200"/>
        </a:p>
      </xdr:txBody>
    </xdr:sp>
    <xdr:clientData/>
  </xdr:twoCellAnchor>
  <xdr:twoCellAnchor>
    <xdr:from>
      <xdr:col>2</xdr:col>
      <xdr:colOff>0</xdr:colOff>
      <xdr:row>5</xdr:row>
      <xdr:rowOff>15240</xdr:rowOff>
    </xdr:from>
    <xdr:to>
      <xdr:col>7</xdr:col>
      <xdr:colOff>0</xdr:colOff>
      <xdr:row>11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0CBC05-67A1-482A-9768-84F319DD9160}"/>
            </a:ext>
          </a:extLst>
        </xdr:cNvPr>
        <xdr:cNvSpPr/>
      </xdr:nvSpPr>
      <xdr:spPr>
        <a:xfrm>
          <a:off x="1341120" y="1257300"/>
          <a:ext cx="3352800" cy="1310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 kern="1200"/>
            <a:t>총 판매금액</a:t>
          </a:r>
          <a:endParaRPr lang="en-US" altLang="ko-KR" sz="1800" b="1" kern="1200"/>
        </a:p>
        <a:p>
          <a:pPr algn="ctr"/>
          <a:r>
            <a:rPr lang="en-US" altLang="ko-KR" sz="1800" b="1" kern="1200"/>
            <a:t>2,144,000</a:t>
          </a:r>
          <a:endParaRPr lang="ko-KR" altLang="en-US" sz="1800" b="1" kern="12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0.70079</cdr:x>
      <cdr:y>0.17308</cdr:y>
    </cdr:from>
    <cdr:to>
      <cdr:x>0.702</cdr:x>
      <cdr:y>0.8956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82528F87-CEA7-8852-1147-4802AB3482FA}"/>
            </a:ext>
          </a:extLst>
        </cdr:cNvPr>
        <cdr:cNvCxnSpPr/>
      </cdr:nvCxnSpPr>
      <cdr:spPr>
        <a:xfrm xmlns:a="http://schemas.openxmlformats.org/drawingml/2006/main">
          <a:off x="4408170" y="480060"/>
          <a:ext cx="7620" cy="200406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0.62326</cdr:x>
      <cdr:y>0.05769</cdr:y>
    </cdr:from>
    <cdr:to>
      <cdr:x>0.78195</cdr:x>
      <cdr:y>0.19231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6DA1557-5935-2980-A925-6C1965553823}"/>
            </a:ext>
          </a:extLst>
        </cdr:cNvPr>
        <cdr:cNvSpPr txBox="1"/>
      </cdr:nvSpPr>
      <cdr:spPr>
        <a:xfrm xmlns:a="http://schemas.openxmlformats.org/drawingml/2006/main">
          <a:off x="3920490" y="160020"/>
          <a:ext cx="9982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ko-KR" sz="1100" kern="1200"/>
            <a:t>00</a:t>
          </a:r>
          <a:r>
            <a:rPr lang="en-US" altLang="ko-KR" sz="1100" kern="1200" baseline="0"/>
            <a:t> </a:t>
          </a:r>
          <a:r>
            <a:rPr lang="ko-KR" altLang="en-US" sz="1100" kern="1200" baseline="0"/>
            <a:t>사업 시작</a:t>
          </a:r>
          <a:endParaRPr lang="ko-KR" alt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yeon Jeon" refreshedDate="45675.720676736113" createdVersion="8" refreshedVersion="8" minRefreshableVersion="3" recordCount="16" xr:uid="{BE73F4F7-A5C2-4278-8FF3-D63EDEE5917C}">
  <cacheSource type="worksheet">
    <worksheetSource ref="B72:K88" sheet="10피벗"/>
  </cacheSource>
  <cacheFields count="10">
    <cacheField name="구분" numFmtId="0">
      <sharedItems/>
    </cacheField>
    <cacheField name="부서" numFmtId="0">
      <sharedItems/>
    </cacheField>
    <cacheField name="직원명" numFmtId="0">
      <sharedItems/>
    </cacheField>
    <cacheField name="판매일자" numFmtId="14">
      <sharedItems containsSemiMixedTypes="0" containsNonDate="0" containsDate="1" containsString="0" minDate="2025-01-01T00:00:00" maxDate="2025-01-16T00:00:00" count="8">
        <d v="2025-01-01T00:00:00"/>
        <d v="2025-01-03T00:00:00"/>
        <d v="2025-01-05T00:00:00"/>
        <d v="2025-01-07T00:00:00"/>
        <d v="2025-01-09T00:00:00"/>
        <d v="2025-01-11T00:00:00"/>
        <d v="2025-01-13T00:00:00"/>
        <d v="2025-01-15T00:00:00"/>
      </sharedItems>
    </cacheField>
    <cacheField name="상품코드" numFmtId="0">
      <sharedItems/>
    </cacheField>
    <cacheField name="상품명" numFmtId="0">
      <sharedItems/>
    </cacheField>
    <cacheField name="단가(원)" numFmtId="3">
      <sharedItems containsSemiMixedTypes="0" containsString="0" containsNumber="1" containsInteger="1" minValue="1400" maxValue="2500"/>
    </cacheField>
    <cacheField name="판매수량(개)" numFmtId="0">
      <sharedItems containsSemiMixedTypes="0" containsString="0" containsNumber="1" containsInteger="1" minValue="40" maxValue="100"/>
    </cacheField>
    <cacheField name="총액(원)" numFmtId="3">
      <sharedItems containsSemiMixedTypes="0" containsString="0" containsNumber="1" containsInteger="1" minValue="70000" maxValue="200000"/>
    </cacheField>
    <cacheField name="판매처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지원부"/>
    <s v="인사팀"/>
    <s v="김지원"/>
    <x v="0"/>
    <s v="P001"/>
    <s v="하트크림빵"/>
    <n v="2500"/>
    <n v="80"/>
    <n v="200000"/>
    <s v="서울역점"/>
  </r>
  <r>
    <s v="지원부"/>
    <s v="인사팀"/>
    <s v="박인사"/>
    <x v="0"/>
    <s v="P001"/>
    <s v="하트크림빵"/>
    <n v="2500"/>
    <n v="70"/>
    <n v="175000"/>
    <s v="강남점"/>
  </r>
  <r>
    <s v="지원부"/>
    <s v="인사팀"/>
    <s v="김지원"/>
    <x v="1"/>
    <s v="P002"/>
    <s v="장미소보로빵"/>
    <n v="1750"/>
    <n v="60"/>
    <n v="105000"/>
    <s v="명동점"/>
  </r>
  <r>
    <s v="지원부"/>
    <s v="인사팀"/>
    <s v="박인사"/>
    <x v="1"/>
    <s v="P002"/>
    <s v="장미소보로빵"/>
    <n v="1750"/>
    <n v="40"/>
    <n v="70000"/>
    <s v="종로점"/>
  </r>
  <r>
    <s v="지원부"/>
    <s v="인사팀"/>
    <s v="김지원"/>
    <x v="2"/>
    <s v="P003"/>
    <s v="딸기치즈빵"/>
    <n v="2100"/>
    <n v="70"/>
    <n v="147000"/>
    <s v="서울역점"/>
  </r>
  <r>
    <s v="지원부"/>
    <s v="인사팀"/>
    <s v="박인사"/>
    <x v="2"/>
    <s v="P003"/>
    <s v="딸기치즈빵"/>
    <n v="2100"/>
    <n v="50"/>
    <n v="105000"/>
    <s v="강남점"/>
  </r>
  <r>
    <s v="지원부"/>
    <s v="재무팀"/>
    <s v="최재무"/>
    <x v="3"/>
    <s v="P004"/>
    <s v="초코슈크림빵"/>
    <n v="1400"/>
    <n v="80"/>
    <n v="112000"/>
    <s v="종로점"/>
  </r>
  <r>
    <s v="지원부"/>
    <s v="재무팀"/>
    <s v="이재무"/>
    <x v="3"/>
    <s v="P004"/>
    <s v="초코슈크림빵"/>
    <n v="1400"/>
    <n v="70"/>
    <n v="98000"/>
    <s v="광화문점"/>
  </r>
  <r>
    <s v="지원부"/>
    <s v="재무팀"/>
    <s v="최재무"/>
    <x v="4"/>
    <s v="P001"/>
    <s v="하트크림빵"/>
    <n v="2500"/>
    <n v="60"/>
    <n v="150000"/>
    <s v="명동점"/>
  </r>
  <r>
    <s v="지원부"/>
    <s v="재무팀"/>
    <s v="이재무"/>
    <x v="4"/>
    <s v="P001"/>
    <s v="하트크림빵"/>
    <n v="2500"/>
    <n v="50"/>
    <n v="125000"/>
    <s v="광화문점"/>
  </r>
  <r>
    <s v="지원부"/>
    <s v="기획팀"/>
    <s v="김기획"/>
    <x v="5"/>
    <s v="P005"/>
    <s v="버터크로와상"/>
    <n v="2000"/>
    <n v="60"/>
    <n v="120000"/>
    <s v="대전점"/>
  </r>
  <r>
    <s v="지원부"/>
    <s v="기획팀"/>
    <s v="이기획"/>
    <x v="5"/>
    <s v="P005"/>
    <s v="버터크로와상"/>
    <n v="2000"/>
    <n v="50"/>
    <n v="100000"/>
    <s v="부산역점"/>
  </r>
  <r>
    <s v="현장부"/>
    <s v="마케팅팀"/>
    <s v="박마케"/>
    <x v="6"/>
    <s v="P004"/>
    <s v="초코슈크림빵"/>
    <n v="1400"/>
    <n v="100"/>
    <n v="140000"/>
    <s v="대구점"/>
  </r>
  <r>
    <s v="현장부"/>
    <s v="마케팅팀"/>
    <s v="최마케"/>
    <x v="6"/>
    <s v="P004"/>
    <s v="초코슈크림빵"/>
    <n v="1400"/>
    <n v="100"/>
    <n v="140000"/>
    <s v="대전점"/>
  </r>
  <r>
    <s v="현장부"/>
    <s v="영업팀"/>
    <s v="김영업"/>
    <x v="7"/>
    <s v="P003"/>
    <s v="딸기치즈빵"/>
    <n v="2100"/>
    <n v="90"/>
    <n v="189000"/>
    <s v="부산역점"/>
  </r>
  <r>
    <s v="현장부"/>
    <s v="영업팀"/>
    <s v="이영업"/>
    <x v="7"/>
    <s v="P003"/>
    <s v="딸기치즈빵"/>
    <n v="2100"/>
    <n v="80"/>
    <n v="168000"/>
    <s v="울산점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0B82E-411A-4D60-A58C-CF83C2EF209C}" name="피벗 테이블17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0">
  <location ref="M34:N43" firstHeaderRow="1" firstDataRow="1" firstDataCol="1"/>
  <pivotFields count="10">
    <pivotField showAll="0"/>
    <pivotField showAll="0"/>
    <pivotField showAll="0"/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3" showAll="0"/>
    <pivotField showAll="0"/>
    <pivotField dataField="1" numFmtId="3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합계 : 총액(원)" fld="8" baseField="0" baseItem="0" numFmtId="3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E173-1198-4640-AA56-41105EE2233C}">
  <sheetPr codeName="Sheet1"/>
  <dimension ref="A1:S64"/>
  <sheetViews>
    <sheetView zoomScale="85" zoomScaleNormal="85" workbookViewId="0">
      <selection activeCell="B61" sqref="B61:S86"/>
    </sheetView>
  </sheetViews>
  <sheetFormatPr defaultRowHeight="17.399999999999999"/>
  <cols>
    <col min="12" max="12" width="40.796875" bestFit="1" customWidth="1"/>
    <col min="13" max="13" width="20.09765625" customWidth="1"/>
  </cols>
  <sheetData>
    <row r="1" spans="1:19" s="2" customFormat="1" ht="24.6" customHeight="1">
      <c r="A1" s="2" t="s">
        <v>107</v>
      </c>
    </row>
    <row r="3" spans="1:19" ht="21">
      <c r="B3" s="2" t="s">
        <v>202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B4" t="s">
        <v>200</v>
      </c>
    </row>
    <row r="5" spans="1:19">
      <c r="B5" t="s">
        <v>201</v>
      </c>
    </row>
    <row r="7" spans="1:19" ht="18" thickBot="1">
      <c r="L7" t="s">
        <v>337</v>
      </c>
    </row>
    <row r="8" spans="1:19">
      <c r="L8" s="118" t="s">
        <v>334</v>
      </c>
      <c r="M8" s="119" t="s">
        <v>335</v>
      </c>
      <c r="O8" s="120" t="s">
        <v>336</v>
      </c>
    </row>
    <row r="9" spans="1:19">
      <c r="L9" s="121" t="s">
        <v>343</v>
      </c>
      <c r="O9" t="s">
        <v>338</v>
      </c>
    </row>
    <row r="10" spans="1:19">
      <c r="L10" s="121" t="s">
        <v>344</v>
      </c>
      <c r="O10" t="s">
        <v>339</v>
      </c>
    </row>
    <row r="11" spans="1:19">
      <c r="L11" s="121" t="s">
        <v>345</v>
      </c>
      <c r="O11" t="s">
        <v>340</v>
      </c>
    </row>
    <row r="12" spans="1:19">
      <c r="L12" s="121" t="s">
        <v>346</v>
      </c>
      <c r="O12" t="s">
        <v>341</v>
      </c>
    </row>
    <row r="13" spans="1:19">
      <c r="L13" s="121" t="s">
        <v>347</v>
      </c>
      <c r="O13" t="s">
        <v>342</v>
      </c>
    </row>
    <row r="23" spans="2:2">
      <c r="B23" t="s">
        <v>108</v>
      </c>
    </row>
    <row r="40" spans="2:19" ht="21">
      <c r="B40" s="2" t="s">
        <v>203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2" spans="2:19">
      <c r="C42" t="s">
        <v>204</v>
      </c>
    </row>
    <row r="43" spans="2:19">
      <c r="C43" t="s">
        <v>205</v>
      </c>
    </row>
    <row r="45" spans="2:19">
      <c r="C45" t="s">
        <v>206</v>
      </c>
    </row>
    <row r="46" spans="2:19">
      <c r="C46" s="34" t="s">
        <v>207</v>
      </c>
    </row>
    <row r="47" spans="2:19">
      <c r="C47" s="34" t="s">
        <v>208</v>
      </c>
    </row>
    <row r="61" spans="2:19" ht="21">
      <c r="B61" s="2" t="s">
        <v>209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3" spans="2:19">
      <c r="B63" t="s">
        <v>211</v>
      </c>
    </row>
    <row r="64" spans="2:19">
      <c r="B64" t="s">
        <v>210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7A6F-B104-42B9-8002-BDE2D464F60F}">
  <sheetPr codeName="Sheet2"/>
  <dimension ref="A1:AN35"/>
  <sheetViews>
    <sheetView workbookViewId="0"/>
  </sheetViews>
  <sheetFormatPr defaultRowHeight="17.399999999999999"/>
  <sheetData>
    <row r="1" spans="1:40" s="2" customFormat="1" ht="24.6" customHeight="1">
      <c r="A1" s="2" t="s">
        <v>7</v>
      </c>
    </row>
    <row r="2" spans="1:40" s="2" customFormat="1" ht="24.6" customHeight="1">
      <c r="A2"/>
      <c r="B2" s="2" t="s">
        <v>8</v>
      </c>
    </row>
    <row r="3" spans="1:40" s="87" customFormat="1" ht="21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>
      <c r="B4" s="115" t="s">
        <v>12</v>
      </c>
      <c r="C4" s="117"/>
      <c r="D4" s="117"/>
      <c r="E4" s="117"/>
      <c r="F4" s="117"/>
    </row>
    <row r="5" spans="1:40">
      <c r="C5" s="70" t="s">
        <v>1</v>
      </c>
      <c r="D5" s="70" t="s">
        <v>2</v>
      </c>
      <c r="E5" s="70" t="s">
        <v>3</v>
      </c>
    </row>
    <row r="6" spans="1:40">
      <c r="C6" s="3">
        <v>1</v>
      </c>
      <c r="D6" s="3" t="s">
        <v>4</v>
      </c>
      <c r="E6" s="3">
        <v>159515</v>
      </c>
    </row>
    <row r="7" spans="1:40">
      <c r="C7" s="3">
        <v>2</v>
      </c>
      <c r="D7" s="3" t="s">
        <v>5</v>
      </c>
      <c r="E7" s="3">
        <v>169905</v>
      </c>
    </row>
    <row r="8" spans="1:40">
      <c r="C8" s="3">
        <v>3</v>
      </c>
      <c r="D8" s="3" t="s">
        <v>6</v>
      </c>
      <c r="E8" s="3">
        <v>189502</v>
      </c>
    </row>
    <row r="10" spans="1:40" s="2" customFormat="1" ht="24.6" customHeight="1">
      <c r="A10"/>
      <c r="B10" s="2" t="s">
        <v>9</v>
      </c>
    </row>
    <row r="11" spans="1:40" s="87" customFormat="1" ht="21">
      <c r="A11"/>
    </row>
    <row r="12" spans="1:40">
      <c r="B12" s="115" t="s">
        <v>333</v>
      </c>
      <c r="C12" s="117"/>
      <c r="D12" s="117"/>
      <c r="E12" s="117"/>
      <c r="F12" s="117"/>
    </row>
    <row r="13" spans="1:40">
      <c r="C13" s="70" t="s">
        <v>1</v>
      </c>
      <c r="D13" s="70" t="s">
        <v>10</v>
      </c>
    </row>
    <row r="14" spans="1:40">
      <c r="C14" s="3">
        <v>1</v>
      </c>
      <c r="D14" s="4">
        <v>10000</v>
      </c>
    </row>
    <row r="15" spans="1:40">
      <c r="C15" s="3">
        <v>2</v>
      </c>
      <c r="D15" s="4">
        <v>15000</v>
      </c>
    </row>
    <row r="16" spans="1:40">
      <c r="C16" s="3">
        <v>3</v>
      </c>
      <c r="D16" s="4">
        <v>30000</v>
      </c>
    </row>
    <row r="17" spans="2:19">
      <c r="C17" s="6" t="s">
        <v>11</v>
      </c>
      <c r="D17" s="69">
        <f>SUM(D16)</f>
        <v>30000</v>
      </c>
    </row>
    <row r="24" spans="2:19" ht="21">
      <c r="B24" s="116" t="s">
        <v>332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</row>
    <row r="26" spans="2:19">
      <c r="B26" s="115" t="s">
        <v>13</v>
      </c>
      <c r="C26" s="117"/>
      <c r="D26" s="117"/>
      <c r="E26" s="117"/>
      <c r="F26" s="117"/>
      <c r="G26" s="117"/>
    </row>
    <row r="27" spans="2:19" ht="18" thickBot="1">
      <c r="B27" t="s">
        <v>14</v>
      </c>
    </row>
    <row r="28" spans="2:19">
      <c r="C28" s="7"/>
      <c r="D28" s="8"/>
    </row>
    <row r="29" spans="2:19" ht="18" thickBot="1">
      <c r="C29" s="9"/>
      <c r="D29" s="10"/>
    </row>
    <row r="31" spans="2:19" ht="18" thickBot="1">
      <c r="B31" t="s">
        <v>331</v>
      </c>
    </row>
    <row r="32" spans="2:19" ht="18" thickBot="1">
      <c r="C32" s="33"/>
    </row>
    <row r="33" spans="3:6" ht="18" thickBot="1">
      <c r="D33" s="33"/>
      <c r="F33" s="33"/>
    </row>
    <row r="34" spans="3:6" ht="18" thickBot="1">
      <c r="E34" s="33"/>
    </row>
    <row r="35" spans="3:6" ht="18" thickBot="1">
      <c r="C35" s="33"/>
    </row>
  </sheetData>
  <phoneticPr fontId="1" type="noConversion"/>
  <dataValidations count="1">
    <dataValidation allowBlank="1" showInputMessage="1" showErrorMessage="1" prompt="F2를 눌러 수식을 수정해보세요_x000a_=SUM(C12:C14)_x000a_" sqref="D17" xr:uid="{6DA46BAA-48C6-4ED2-B4DB-AA655D62C9A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90EB-D809-40B3-A1B4-BF4FF2D381D5}">
  <sheetPr codeName="Sheet3"/>
  <dimension ref="A1:R56"/>
  <sheetViews>
    <sheetView workbookViewId="0">
      <selection activeCell="C13" sqref="C9:C13"/>
    </sheetView>
  </sheetViews>
  <sheetFormatPr defaultRowHeight="17.399999999999999"/>
  <sheetData>
    <row r="1" spans="1:18" s="2" customFormat="1" ht="24.6" customHeight="1">
      <c r="A1" s="2" t="s">
        <v>15</v>
      </c>
    </row>
    <row r="2" spans="1:18" s="87" customFormat="1" ht="10.8" customHeight="1"/>
    <row r="3" spans="1:18" ht="21">
      <c r="B3" s="2" t="s">
        <v>323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spans="1:18">
      <c r="B5" s="70" t="s">
        <v>1</v>
      </c>
      <c r="C5" s="70" t="s">
        <v>2</v>
      </c>
    </row>
    <row r="6" spans="1:18">
      <c r="B6" s="3">
        <v>1</v>
      </c>
      <c r="C6" s="3" t="s">
        <v>4</v>
      </c>
    </row>
    <row r="7" spans="1:18">
      <c r="B7" s="3">
        <v>2</v>
      </c>
      <c r="C7" s="3" t="s">
        <v>5</v>
      </c>
    </row>
    <row r="8" spans="1:18">
      <c r="B8" s="3">
        <v>3</v>
      </c>
      <c r="C8" s="3" t="s">
        <v>6</v>
      </c>
      <c r="G8" t="s">
        <v>21</v>
      </c>
    </row>
    <row r="9" spans="1:18">
      <c r="B9" s="1"/>
      <c r="C9" s="3" t="s">
        <v>16</v>
      </c>
      <c r="G9" t="s">
        <v>23</v>
      </c>
    </row>
    <row r="10" spans="1:18">
      <c r="B10" s="1"/>
      <c r="C10" s="3" t="s">
        <v>17</v>
      </c>
      <c r="G10" t="s">
        <v>22</v>
      </c>
    </row>
    <row r="11" spans="1:18">
      <c r="B11" s="1"/>
      <c r="C11" s="3" t="s">
        <v>18</v>
      </c>
    </row>
    <row r="12" spans="1:18">
      <c r="B12" s="1"/>
      <c r="C12" s="3" t="s">
        <v>357</v>
      </c>
    </row>
    <row r="13" spans="1:18">
      <c r="B13" s="1"/>
      <c r="C13" s="3" t="s">
        <v>32</v>
      </c>
    </row>
    <row r="16" spans="1:18" ht="21">
      <c r="B16" s="2" t="s">
        <v>324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8" spans="2:13" ht="18" thickBot="1">
      <c r="B18" s="5" t="s">
        <v>25</v>
      </c>
      <c r="C18" t="s">
        <v>326</v>
      </c>
      <c r="G18" s="5" t="s">
        <v>24</v>
      </c>
      <c r="H18" t="s">
        <v>327</v>
      </c>
    </row>
    <row r="19" spans="2:13">
      <c r="B19" s="107">
        <v>1</v>
      </c>
      <c r="C19" s="108"/>
      <c r="D19" s="108"/>
      <c r="E19" s="109"/>
      <c r="G19" s="107">
        <v>1</v>
      </c>
      <c r="H19" s="108">
        <v>2</v>
      </c>
      <c r="I19" s="108">
        <v>3</v>
      </c>
      <c r="J19" s="109">
        <v>4</v>
      </c>
    </row>
    <row r="20" spans="2:13">
      <c r="B20" s="110">
        <v>2</v>
      </c>
      <c r="C20" s="1"/>
      <c r="D20" s="1"/>
      <c r="E20" s="111"/>
      <c r="G20" s="110"/>
      <c r="H20" s="1"/>
      <c r="I20" s="1"/>
      <c r="J20" s="111"/>
    </row>
    <row r="21" spans="2:13">
      <c r="B21" s="110">
        <v>3</v>
      </c>
      <c r="C21" s="1"/>
      <c r="D21" s="1"/>
      <c r="E21" s="111"/>
      <c r="G21" s="110"/>
      <c r="H21" s="1"/>
      <c r="I21" s="1"/>
      <c r="J21" s="111"/>
    </row>
    <row r="22" spans="2:13">
      <c r="B22" s="110">
        <v>4</v>
      </c>
      <c r="C22" s="1"/>
      <c r="D22" s="1"/>
      <c r="E22" s="111"/>
      <c r="G22" s="110"/>
      <c r="H22" s="1"/>
      <c r="I22" s="1"/>
      <c r="J22" s="111"/>
    </row>
    <row r="23" spans="2:13" ht="18" thickBot="1">
      <c r="B23" s="112">
        <v>5</v>
      </c>
      <c r="C23" s="113"/>
      <c r="D23" s="113"/>
      <c r="E23" s="114"/>
      <c r="G23" s="112"/>
      <c r="H23" s="113"/>
      <c r="I23" s="113"/>
      <c r="J23" s="114"/>
    </row>
    <row r="25" spans="2:13">
      <c r="B25" t="s">
        <v>325</v>
      </c>
      <c r="J25" t="s">
        <v>328</v>
      </c>
      <c r="M25" t="s">
        <v>329</v>
      </c>
    </row>
    <row r="26" spans="2:13">
      <c r="B26" s="64" t="s">
        <v>190</v>
      </c>
      <c r="C26" s="64" t="s">
        <v>185</v>
      </c>
      <c r="D26" s="64" t="s">
        <v>127</v>
      </c>
      <c r="E26" s="64" t="s">
        <v>128</v>
      </c>
      <c r="F26" s="64" t="s">
        <v>129</v>
      </c>
      <c r="G26" s="64" t="s">
        <v>143</v>
      </c>
      <c r="H26" s="64" t="s">
        <v>186</v>
      </c>
    </row>
    <row r="27" spans="2:13">
      <c r="B27" s="6" t="s">
        <v>191</v>
      </c>
      <c r="C27" s="6" t="s">
        <v>38</v>
      </c>
      <c r="D27" s="1" t="s">
        <v>130</v>
      </c>
      <c r="E27" s="1" t="s">
        <v>131</v>
      </c>
      <c r="F27" s="63">
        <v>2500</v>
      </c>
      <c r="G27" s="1">
        <v>150</v>
      </c>
      <c r="H27" s="63">
        <v>375000</v>
      </c>
    </row>
    <row r="28" spans="2:13">
      <c r="B28" s="6"/>
      <c r="C28" s="6"/>
      <c r="D28" s="1" t="s">
        <v>132</v>
      </c>
      <c r="E28" s="1" t="s">
        <v>133</v>
      </c>
      <c r="F28" s="63">
        <v>1750</v>
      </c>
      <c r="G28" s="1">
        <v>100</v>
      </c>
      <c r="H28" s="63">
        <v>175000</v>
      </c>
    </row>
    <row r="29" spans="2:13">
      <c r="B29" s="6"/>
      <c r="C29" s="6"/>
      <c r="D29" s="1" t="s">
        <v>134</v>
      </c>
      <c r="E29" s="1" t="s">
        <v>135</v>
      </c>
      <c r="F29" s="63">
        <v>2100</v>
      </c>
      <c r="G29" s="1">
        <v>120</v>
      </c>
      <c r="H29" s="63">
        <v>252000</v>
      </c>
    </row>
    <row r="30" spans="2:13">
      <c r="B30" s="6"/>
      <c r="C30" s="6"/>
      <c r="D30" s="1" t="s">
        <v>136</v>
      </c>
      <c r="E30" s="1" t="s">
        <v>137</v>
      </c>
      <c r="F30" s="63">
        <v>1400</v>
      </c>
      <c r="G30" s="1">
        <v>150</v>
      </c>
      <c r="H30" s="63">
        <v>210000</v>
      </c>
    </row>
    <row r="31" spans="2:13">
      <c r="B31" s="6"/>
      <c r="C31" s="6"/>
      <c r="D31" s="1" t="s">
        <v>130</v>
      </c>
      <c r="E31" s="1" t="s">
        <v>131</v>
      </c>
      <c r="F31" s="63">
        <v>2500</v>
      </c>
      <c r="G31" s="1">
        <v>110</v>
      </c>
      <c r="H31" s="63">
        <v>275000</v>
      </c>
    </row>
    <row r="33" spans="2:8" s="2" customFormat="1" ht="24.6" customHeight="1">
      <c r="B33" s="2" t="s">
        <v>330</v>
      </c>
    </row>
    <row r="34" spans="2:8">
      <c r="B34" t="s">
        <v>28</v>
      </c>
    </row>
    <row r="35" spans="2:8">
      <c r="B35" s="70" t="s">
        <v>2</v>
      </c>
      <c r="C35" s="71" t="s">
        <v>26</v>
      </c>
    </row>
    <row r="36" spans="2:8">
      <c r="B36" s="3" t="s">
        <v>4</v>
      </c>
      <c r="C36" s="1" t="s">
        <v>27</v>
      </c>
    </row>
    <row r="37" spans="2:8">
      <c r="B37" s="3" t="s">
        <v>5</v>
      </c>
      <c r="C37" s="1"/>
    </row>
    <row r="38" spans="2:8">
      <c r="B38" s="3" t="s">
        <v>6</v>
      </c>
      <c r="C38" s="1"/>
    </row>
    <row r="39" spans="2:8">
      <c r="B39" s="3" t="s">
        <v>16</v>
      </c>
      <c r="C39" s="1"/>
    </row>
    <row r="40" spans="2:8">
      <c r="B40" s="3" t="s">
        <v>17</v>
      </c>
      <c r="C40" s="1"/>
    </row>
    <row r="41" spans="2:8">
      <c r="B41" s="3" t="s">
        <v>18</v>
      </c>
      <c r="C41" s="1"/>
    </row>
    <row r="42" spans="2:8">
      <c r="B42" s="3" t="s">
        <v>19</v>
      </c>
      <c r="C42" s="1"/>
    </row>
    <row r="43" spans="2:8">
      <c r="B43" s="3" t="s">
        <v>20</v>
      </c>
      <c r="C43" s="1"/>
    </row>
    <row r="45" spans="2:8">
      <c r="B45" s="23" t="s">
        <v>81</v>
      </c>
    </row>
    <row r="46" spans="2:8">
      <c r="E46" s="71" t="s">
        <v>78</v>
      </c>
      <c r="F46" s="71" t="s">
        <v>71</v>
      </c>
      <c r="G46" s="71" t="s">
        <v>72</v>
      </c>
      <c r="H46" s="71" t="s">
        <v>0</v>
      </c>
    </row>
    <row r="47" spans="2:8">
      <c r="E47" s="26" t="s">
        <v>73</v>
      </c>
      <c r="F47" s="1" t="s">
        <v>79</v>
      </c>
      <c r="G47" s="1"/>
      <c r="H47" s="1"/>
    </row>
    <row r="48" spans="2:8">
      <c r="E48" s="26" t="s">
        <v>74</v>
      </c>
      <c r="F48" s="1" t="s">
        <v>80</v>
      </c>
      <c r="G48" s="1"/>
      <c r="H48" s="1"/>
    </row>
    <row r="49" spans="5:8">
      <c r="E49" s="26" t="s">
        <v>75</v>
      </c>
      <c r="F49" s="1"/>
      <c r="G49" s="1"/>
      <c r="H49" s="1"/>
    </row>
    <row r="50" spans="5:8">
      <c r="E50" s="26" t="s">
        <v>76</v>
      </c>
      <c r="F50" s="1"/>
      <c r="G50" s="1"/>
      <c r="H50" s="1"/>
    </row>
    <row r="51" spans="5:8">
      <c r="E51" s="26" t="s">
        <v>77</v>
      </c>
      <c r="F51" s="1"/>
      <c r="G51" s="1"/>
      <c r="H51" s="1"/>
    </row>
    <row r="52" spans="5:8">
      <c r="E52" s="26" t="s">
        <v>212</v>
      </c>
      <c r="F52" s="1"/>
      <c r="G52" s="1"/>
      <c r="H52" s="1"/>
    </row>
    <row r="53" spans="5:8">
      <c r="E53" s="26" t="s">
        <v>213</v>
      </c>
      <c r="F53" s="1"/>
      <c r="G53" s="1"/>
      <c r="H53" s="1"/>
    </row>
    <row r="54" spans="5:8">
      <c r="E54" s="26" t="s">
        <v>214</v>
      </c>
      <c r="F54" s="1"/>
      <c r="G54" s="1"/>
      <c r="H54" s="1"/>
    </row>
    <row r="55" spans="5:8">
      <c r="E55" s="26" t="s">
        <v>215</v>
      </c>
      <c r="F55" s="1"/>
      <c r="G55" s="1"/>
      <c r="H55" s="1"/>
    </row>
    <row r="56" spans="5:8">
      <c r="E56" s="26" t="s">
        <v>216</v>
      </c>
      <c r="F56" s="1"/>
      <c r="G56" s="1"/>
      <c r="H56" s="1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E56E-DE15-4242-8849-6DB4FDED02FE}">
  <sheetPr codeName="Sheet4"/>
  <dimension ref="A1:M45"/>
  <sheetViews>
    <sheetView zoomScaleNormal="100" workbookViewId="0">
      <selection activeCell="G29" sqref="G29"/>
    </sheetView>
  </sheetViews>
  <sheetFormatPr defaultRowHeight="17.399999999999999"/>
  <cols>
    <col min="4" max="5" width="10.8984375" bestFit="1" customWidth="1"/>
    <col min="7" max="7" width="9" customWidth="1"/>
    <col min="8" max="8" width="9.19921875" bestFit="1" customWidth="1"/>
    <col min="9" max="9" width="9" customWidth="1"/>
    <col min="10" max="10" width="15.3984375" bestFit="1" customWidth="1"/>
    <col min="12" max="12" width="16.3984375" customWidth="1"/>
    <col min="13" max="13" width="10.3984375" customWidth="1"/>
  </cols>
  <sheetData>
    <row r="1" spans="1:13" s="2" customFormat="1" ht="24.6" customHeight="1">
      <c r="A1" s="2" t="s">
        <v>29</v>
      </c>
    </row>
    <row r="2" spans="1:13" ht="21">
      <c r="B2" s="2" t="s">
        <v>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8" thickBot="1">
      <c r="B3" s="14" t="s">
        <v>35</v>
      </c>
      <c r="C3" s="14"/>
      <c r="D3" s="14"/>
      <c r="E3" s="14"/>
      <c r="F3" s="14"/>
      <c r="G3" s="14"/>
      <c r="H3" s="14"/>
      <c r="I3" s="14"/>
      <c r="J3" s="14"/>
    </row>
    <row r="4" spans="1:13" ht="18" thickBot="1">
      <c r="B4" s="15" t="s">
        <v>18</v>
      </c>
      <c r="C4" s="14"/>
      <c r="D4" s="16" t="s">
        <v>20</v>
      </c>
      <c r="E4" s="14"/>
      <c r="F4" s="16" t="s">
        <v>31</v>
      </c>
      <c r="G4" s="14"/>
      <c r="H4" s="16" t="s">
        <v>32</v>
      </c>
      <c r="I4" s="14"/>
      <c r="J4" s="16" t="s">
        <v>33</v>
      </c>
    </row>
    <row r="6" spans="1:13" ht="18" thickBot="1">
      <c r="B6" s="14" t="s">
        <v>34</v>
      </c>
      <c r="C6" s="14"/>
      <c r="D6" s="14"/>
      <c r="E6" s="14"/>
      <c r="F6" s="14"/>
      <c r="G6" s="14"/>
      <c r="H6" s="14"/>
      <c r="I6" s="14"/>
      <c r="J6" s="14"/>
    </row>
    <row r="7" spans="1:13" ht="18" thickBot="1">
      <c r="B7" s="15" t="s">
        <v>18</v>
      </c>
      <c r="C7" s="14"/>
      <c r="D7" s="16" t="s">
        <v>20</v>
      </c>
      <c r="E7" s="14"/>
      <c r="F7" s="16" t="s">
        <v>31</v>
      </c>
      <c r="G7" s="14"/>
      <c r="H7" s="16" t="s">
        <v>32</v>
      </c>
      <c r="I7" s="14"/>
      <c r="J7" s="16" t="s">
        <v>33</v>
      </c>
    </row>
    <row r="11" spans="1:13">
      <c r="B11" s="5" t="s">
        <v>65</v>
      </c>
      <c r="L11" s="5" t="s">
        <v>68</v>
      </c>
    </row>
    <row r="12" spans="1:13" ht="18" thickBot="1">
      <c r="C12" s="27" t="s">
        <v>41</v>
      </c>
      <c r="D12" s="27" t="s">
        <v>36</v>
      </c>
      <c r="E12" s="27" t="s">
        <v>42</v>
      </c>
      <c r="F12" s="27" t="s">
        <v>63</v>
      </c>
      <c r="G12" s="27" t="s">
        <v>64</v>
      </c>
      <c r="H12" s="27" t="s">
        <v>62</v>
      </c>
      <c r="I12" s="27" t="s">
        <v>37</v>
      </c>
      <c r="J12" s="27" t="s">
        <v>43</v>
      </c>
      <c r="K12" s="22"/>
      <c r="L12" s="23" t="s">
        <v>69</v>
      </c>
    </row>
    <row r="13" spans="1:13" ht="18.600000000000001" thickTop="1" thickBot="1">
      <c r="C13" s="17">
        <v>1</v>
      </c>
      <c r="D13" s="17" t="s">
        <v>44</v>
      </c>
      <c r="E13" s="17" t="s">
        <v>45</v>
      </c>
      <c r="F13" s="18">
        <v>3500000</v>
      </c>
      <c r="G13" s="18">
        <v>3200000</v>
      </c>
      <c r="H13" s="18">
        <f t="shared" ref="H13:H19" si="0">F13-G13</f>
        <v>300000</v>
      </c>
      <c r="I13" s="17" t="s">
        <v>38</v>
      </c>
      <c r="J13" s="1" t="s">
        <v>46</v>
      </c>
      <c r="L13" s="24"/>
    </row>
    <row r="14" spans="1:13" ht="18" thickTop="1">
      <c r="C14" s="17">
        <v>2</v>
      </c>
      <c r="D14" s="17" t="s">
        <v>47</v>
      </c>
      <c r="E14" s="17" t="s">
        <v>48</v>
      </c>
      <c r="F14" s="18">
        <v>2000000</v>
      </c>
      <c r="G14" s="18">
        <v>1800000</v>
      </c>
      <c r="H14" s="18">
        <f t="shared" si="0"/>
        <v>200000</v>
      </c>
      <c r="I14" s="17" t="s">
        <v>39</v>
      </c>
      <c r="J14" s="1" t="s">
        <v>49</v>
      </c>
    </row>
    <row r="15" spans="1:13">
      <c r="C15" s="17">
        <v>3</v>
      </c>
      <c r="D15" s="17" t="s">
        <v>50</v>
      </c>
      <c r="E15" s="17" t="s">
        <v>48</v>
      </c>
      <c r="F15" s="18">
        <v>5000000</v>
      </c>
      <c r="G15" s="18">
        <v>4750000</v>
      </c>
      <c r="H15" s="18">
        <f t="shared" si="0"/>
        <v>250000</v>
      </c>
      <c r="I15" s="17" t="s">
        <v>51</v>
      </c>
      <c r="J15" s="1" t="s">
        <v>52</v>
      </c>
    </row>
    <row r="16" spans="1:13">
      <c r="C16" s="17">
        <v>4</v>
      </c>
      <c r="D16" s="17" t="s">
        <v>53</v>
      </c>
      <c r="E16" s="17" t="s">
        <v>45</v>
      </c>
      <c r="F16" s="18">
        <v>1500000</v>
      </c>
      <c r="G16" s="18">
        <v>1500000</v>
      </c>
      <c r="H16" s="18">
        <f t="shared" si="0"/>
        <v>0</v>
      </c>
      <c r="I16" s="17" t="s">
        <v>40</v>
      </c>
      <c r="J16" s="1" t="s">
        <v>54</v>
      </c>
    </row>
    <row r="17" spans="2:13">
      <c r="C17" s="17">
        <v>5</v>
      </c>
      <c r="D17" s="17" t="s">
        <v>55</v>
      </c>
      <c r="E17" s="17" t="s">
        <v>48</v>
      </c>
      <c r="F17" s="18">
        <v>800000</v>
      </c>
      <c r="G17" s="18">
        <v>700000</v>
      </c>
      <c r="H17" s="18">
        <f t="shared" si="0"/>
        <v>100000</v>
      </c>
      <c r="I17" s="17" t="s">
        <v>38</v>
      </c>
      <c r="J17" s="1" t="s">
        <v>56</v>
      </c>
    </row>
    <row r="18" spans="2:13">
      <c r="C18" s="17">
        <v>6</v>
      </c>
      <c r="D18" s="17" t="s">
        <v>57</v>
      </c>
      <c r="E18" s="17" t="s">
        <v>48</v>
      </c>
      <c r="F18" s="18">
        <v>1200000</v>
      </c>
      <c r="G18" s="18">
        <v>1050000</v>
      </c>
      <c r="H18" s="18">
        <f t="shared" si="0"/>
        <v>150000</v>
      </c>
      <c r="I18" s="17" t="s">
        <v>58</v>
      </c>
      <c r="J18" s="1" t="s">
        <v>59</v>
      </c>
    </row>
    <row r="19" spans="2:13" ht="18" thickBot="1">
      <c r="C19" s="17">
        <v>7</v>
      </c>
      <c r="D19" s="17" t="s">
        <v>60</v>
      </c>
      <c r="E19" s="17" t="s">
        <v>45</v>
      </c>
      <c r="F19" s="18">
        <v>2000000</v>
      </c>
      <c r="G19" s="19">
        <v>1000000</v>
      </c>
      <c r="H19" s="19">
        <f t="shared" si="0"/>
        <v>1000000</v>
      </c>
      <c r="I19" s="17" t="s">
        <v>40</v>
      </c>
      <c r="J19" s="1" t="s">
        <v>61</v>
      </c>
    </row>
    <row r="20" spans="2:13" ht="18" thickBot="1">
      <c r="G20" s="20" t="s">
        <v>11</v>
      </c>
      <c r="H20" s="72"/>
      <c r="I20" s="21" t="s">
        <v>70</v>
      </c>
    </row>
    <row r="21" spans="2:13">
      <c r="G21" s="5"/>
      <c r="I21" s="25"/>
    </row>
    <row r="23" spans="2:13" ht="21">
      <c r="B23" s="2" t="s">
        <v>66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>
      <c r="C24" s="27" t="s">
        <v>41</v>
      </c>
      <c r="D24" s="27" t="s">
        <v>36</v>
      </c>
      <c r="E24" s="27" t="s">
        <v>42</v>
      </c>
      <c r="F24" s="27" t="s">
        <v>63</v>
      </c>
      <c r="G24" s="27" t="s">
        <v>64</v>
      </c>
      <c r="H24" s="27" t="s">
        <v>62</v>
      </c>
      <c r="I24" s="27" t="s">
        <v>37</v>
      </c>
      <c r="J24" s="27" t="s">
        <v>43</v>
      </c>
      <c r="L24" s="27" t="s">
        <v>88</v>
      </c>
    </row>
    <row r="25" spans="2:13">
      <c r="C25" s="17">
        <v>1</v>
      </c>
      <c r="D25" s="17" t="s">
        <v>44</v>
      </c>
      <c r="E25" s="17" t="s">
        <v>45</v>
      </c>
      <c r="F25" s="18">
        <v>3500000</v>
      </c>
      <c r="G25" s="18">
        <v>3200000</v>
      </c>
      <c r="H25" s="18">
        <f t="shared" ref="H25:H31" si="1">F25-G25</f>
        <v>300000</v>
      </c>
      <c r="I25" s="17" t="s">
        <v>38</v>
      </c>
      <c r="J25" s="1" t="s">
        <v>46</v>
      </c>
      <c r="L25" t="s">
        <v>84</v>
      </c>
    </row>
    <row r="26" spans="2:13">
      <c r="C26" s="17">
        <v>2</v>
      </c>
      <c r="D26" s="28"/>
      <c r="E26" s="17" t="s">
        <v>48</v>
      </c>
      <c r="F26" s="18">
        <v>2000000</v>
      </c>
      <c r="G26" s="18">
        <v>1800000</v>
      </c>
      <c r="H26" s="18">
        <f t="shared" si="1"/>
        <v>200000</v>
      </c>
      <c r="I26" s="29"/>
      <c r="J26" s="1" t="s">
        <v>49</v>
      </c>
      <c r="L26" t="s">
        <v>85</v>
      </c>
    </row>
    <row r="27" spans="2:13">
      <c r="C27" s="17">
        <v>3</v>
      </c>
      <c r="D27" s="17" t="s">
        <v>50</v>
      </c>
      <c r="E27" s="17" t="s">
        <v>48</v>
      </c>
      <c r="F27" s="18">
        <v>5000000</v>
      </c>
      <c r="G27" s="30"/>
      <c r="H27" s="18">
        <f t="shared" si="1"/>
        <v>5000000</v>
      </c>
      <c r="I27" s="17" t="s">
        <v>51</v>
      </c>
      <c r="J27" s="1" t="s">
        <v>52</v>
      </c>
      <c r="L27" t="s">
        <v>82</v>
      </c>
    </row>
    <row r="28" spans="2:13">
      <c r="C28" s="17">
        <v>4</v>
      </c>
      <c r="D28" s="17" t="s">
        <v>53</v>
      </c>
      <c r="E28" s="29"/>
      <c r="F28" s="18">
        <v>1500000</v>
      </c>
      <c r="G28" s="18">
        <v>1500000</v>
      </c>
      <c r="H28" s="30"/>
      <c r="I28" s="29"/>
      <c r="J28" s="1" t="s">
        <v>54</v>
      </c>
      <c r="L28" t="s">
        <v>83</v>
      </c>
    </row>
    <row r="29" spans="2:13">
      <c r="C29" s="17">
        <v>5</v>
      </c>
      <c r="D29" s="17" t="s">
        <v>55</v>
      </c>
      <c r="E29" s="17" t="s">
        <v>48</v>
      </c>
      <c r="F29" s="18">
        <v>800000</v>
      </c>
      <c r="G29" s="18">
        <v>700000</v>
      </c>
      <c r="H29" s="18">
        <f t="shared" si="1"/>
        <v>100000</v>
      </c>
      <c r="I29" s="17" t="s">
        <v>38</v>
      </c>
      <c r="J29" s="31"/>
      <c r="L29" t="s">
        <v>86</v>
      </c>
    </row>
    <row r="30" spans="2:13">
      <c r="C30" s="17">
        <v>6</v>
      </c>
      <c r="D30" s="29"/>
      <c r="E30" s="17" t="s">
        <v>48</v>
      </c>
      <c r="F30" s="18">
        <v>1200000</v>
      </c>
      <c r="G30" s="18">
        <v>1050000</v>
      </c>
      <c r="H30" s="18">
        <f t="shared" si="1"/>
        <v>150000</v>
      </c>
      <c r="I30" s="29"/>
      <c r="J30" s="1" t="s">
        <v>67</v>
      </c>
    </row>
    <row r="31" spans="2:13">
      <c r="C31" s="17">
        <v>7</v>
      </c>
      <c r="D31" s="17" t="s">
        <v>60</v>
      </c>
      <c r="E31" s="17" t="s">
        <v>45</v>
      </c>
      <c r="F31" s="30"/>
      <c r="G31" s="18">
        <v>1000000</v>
      </c>
      <c r="H31" s="18">
        <f t="shared" si="1"/>
        <v>-1000000</v>
      </c>
      <c r="I31" s="17" t="s">
        <v>40</v>
      </c>
      <c r="J31" s="1" t="s">
        <v>61</v>
      </c>
    </row>
    <row r="34" spans="1:13" ht="21">
      <c r="B34" s="2" t="s">
        <v>89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C35" s="32" t="s">
        <v>87</v>
      </c>
    </row>
    <row r="36" spans="1:13">
      <c r="C36" t="s">
        <v>90</v>
      </c>
    </row>
    <row r="38" spans="1:13">
      <c r="C38" s="27" t="s">
        <v>218</v>
      </c>
      <c r="D38" s="27" t="s">
        <v>36</v>
      </c>
      <c r="E38" s="27" t="s">
        <v>42</v>
      </c>
      <c r="F38" s="27" t="s">
        <v>63</v>
      </c>
      <c r="G38" s="27" t="s">
        <v>64</v>
      </c>
      <c r="H38" s="27" t="s">
        <v>62</v>
      </c>
      <c r="I38" s="27" t="s">
        <v>37</v>
      </c>
      <c r="J38" s="27" t="s">
        <v>43</v>
      </c>
    </row>
    <row r="39" spans="1:13" hidden="1">
      <c r="C39" s="17">
        <v>1</v>
      </c>
      <c r="D39" s="17" t="s">
        <v>44</v>
      </c>
      <c r="E39" s="17" t="s">
        <v>45</v>
      </c>
      <c r="F39" s="18">
        <v>3500000</v>
      </c>
      <c r="G39" s="18">
        <v>3200000</v>
      </c>
      <c r="H39" s="18">
        <f t="shared" ref="H39:H45" si="2">F39-G39</f>
        <v>300000</v>
      </c>
      <c r="I39" s="17" t="s">
        <v>38</v>
      </c>
      <c r="J39" s="1" t="s">
        <v>46</v>
      </c>
    </row>
    <row r="40" spans="1:13">
      <c r="A40" s="73" t="s">
        <v>217</v>
      </c>
      <c r="C40" s="17">
        <v>2</v>
      </c>
      <c r="D40" s="17" t="s">
        <v>47</v>
      </c>
      <c r="E40" s="17" t="s">
        <v>48</v>
      </c>
      <c r="F40" s="18">
        <v>2000000</v>
      </c>
      <c r="G40" s="18">
        <v>1800000</v>
      </c>
      <c r="H40" s="18">
        <f t="shared" si="2"/>
        <v>200000</v>
      </c>
      <c r="I40" s="17" t="s">
        <v>39</v>
      </c>
      <c r="J40" s="1" t="s">
        <v>49</v>
      </c>
    </row>
    <row r="41" spans="1:13">
      <c r="C41" s="17">
        <v>3</v>
      </c>
      <c r="D41" s="17" t="s">
        <v>50</v>
      </c>
      <c r="E41" s="17" t="s">
        <v>48</v>
      </c>
      <c r="F41" s="18">
        <v>5000000</v>
      </c>
      <c r="G41" s="18">
        <v>4750000</v>
      </c>
      <c r="H41" s="18">
        <f t="shared" si="2"/>
        <v>250000</v>
      </c>
      <c r="I41" s="17" t="s">
        <v>51</v>
      </c>
      <c r="J41" s="1" t="s">
        <v>52</v>
      </c>
    </row>
    <row r="42" spans="1:13" hidden="1">
      <c r="C42" s="17">
        <v>4</v>
      </c>
      <c r="D42" s="17" t="s">
        <v>53</v>
      </c>
      <c r="E42" s="17" t="s">
        <v>45</v>
      </c>
      <c r="F42" s="18">
        <v>1500000</v>
      </c>
      <c r="G42" s="18">
        <v>1500000</v>
      </c>
      <c r="H42" s="18">
        <f t="shared" si="2"/>
        <v>0</v>
      </c>
      <c r="I42" s="17" t="s">
        <v>40</v>
      </c>
      <c r="J42" s="1" t="s">
        <v>54</v>
      </c>
    </row>
    <row r="43" spans="1:13">
      <c r="C43" s="17">
        <v>5</v>
      </c>
      <c r="D43" s="17" t="s">
        <v>55</v>
      </c>
      <c r="E43" s="17" t="s">
        <v>48</v>
      </c>
      <c r="F43" s="18">
        <v>800000</v>
      </c>
      <c r="G43" s="18">
        <v>700000</v>
      </c>
      <c r="H43" s="18">
        <f t="shared" si="2"/>
        <v>100000</v>
      </c>
      <c r="I43" s="17" t="s">
        <v>38</v>
      </c>
      <c r="J43" s="1" t="s">
        <v>56</v>
      </c>
    </row>
    <row r="44" spans="1:13">
      <c r="C44" s="17">
        <v>6</v>
      </c>
      <c r="D44" s="17" t="s">
        <v>57</v>
      </c>
      <c r="E44" s="17" t="s">
        <v>48</v>
      </c>
      <c r="F44" s="18">
        <v>1200000</v>
      </c>
      <c r="G44" s="18">
        <v>1050000</v>
      </c>
      <c r="H44" s="18">
        <f t="shared" si="2"/>
        <v>150000</v>
      </c>
      <c r="I44" s="17" t="s">
        <v>58</v>
      </c>
      <c r="J44" s="1" t="s">
        <v>59</v>
      </c>
    </row>
    <row r="45" spans="1:13" hidden="1">
      <c r="C45" s="17">
        <v>7</v>
      </c>
      <c r="D45" s="17" t="s">
        <v>60</v>
      </c>
      <c r="E45" s="17" t="s">
        <v>45</v>
      </c>
      <c r="F45" s="18">
        <v>2000000</v>
      </c>
      <c r="G45" s="19">
        <v>1000000</v>
      </c>
      <c r="H45" s="19">
        <f t="shared" si="2"/>
        <v>1000000</v>
      </c>
      <c r="I45" s="17" t="s">
        <v>40</v>
      </c>
      <c r="J45" s="1" t="s">
        <v>61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D4E1-EA24-465A-A05F-CF6DB044BB66}">
  <sheetPr codeName="Sheet6"/>
  <dimension ref="A1:V25"/>
  <sheetViews>
    <sheetView workbookViewId="0"/>
  </sheetViews>
  <sheetFormatPr defaultRowHeight="17.399999999999999"/>
  <cols>
    <col min="5" max="5" width="11" customWidth="1"/>
    <col min="6" max="6" width="14.69921875" customWidth="1"/>
  </cols>
  <sheetData>
    <row r="1" spans="1:22" s="2" customFormat="1" ht="24.6" customHeight="1">
      <c r="A1" s="2" t="s">
        <v>117</v>
      </c>
    </row>
    <row r="3" spans="1:22" ht="21">
      <c r="B3" s="2" t="s">
        <v>122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" thickBot="1">
      <c r="F4" t="s">
        <v>121</v>
      </c>
    </row>
    <row r="5" spans="1:22">
      <c r="B5" s="122" t="s">
        <v>73</v>
      </c>
      <c r="C5" s="122"/>
      <c r="D5" s="122"/>
      <c r="E5" s="122"/>
      <c r="F5" s="11"/>
    </row>
    <row r="6" spans="1:22">
      <c r="B6" s="122" t="s">
        <v>118</v>
      </c>
      <c r="C6" s="122"/>
      <c r="D6" s="122"/>
      <c r="E6" s="122"/>
      <c r="F6" s="12"/>
    </row>
    <row r="7" spans="1:22">
      <c r="B7" s="122" t="s">
        <v>75</v>
      </c>
      <c r="C7" s="122"/>
      <c r="D7" s="122"/>
      <c r="E7" s="122"/>
      <c r="F7" s="12"/>
    </row>
    <row r="8" spans="1:22">
      <c r="B8" s="122" t="s">
        <v>119</v>
      </c>
      <c r="C8" s="122"/>
      <c r="D8" s="122"/>
      <c r="E8" s="122"/>
      <c r="F8" s="12"/>
    </row>
    <row r="9" spans="1:22" ht="18" thickBot="1">
      <c r="B9" s="122" t="s">
        <v>77</v>
      </c>
      <c r="C9" s="122"/>
      <c r="D9" s="122"/>
      <c r="E9" s="122"/>
      <c r="F9" s="13"/>
    </row>
    <row r="11" spans="1:22" ht="21">
      <c r="B11" s="2" t="s">
        <v>225</v>
      </c>
      <c r="C11" s="2"/>
      <c r="D11" s="2"/>
      <c r="E11" s="2"/>
      <c r="F11" s="2"/>
    </row>
    <row r="12" spans="1:22" ht="18" thickBot="1">
      <c r="F12" t="s">
        <v>120</v>
      </c>
      <c r="H12" t="s">
        <v>123</v>
      </c>
    </row>
    <row r="13" spans="1:22">
      <c r="B13" s="122" t="s">
        <v>73</v>
      </c>
      <c r="C13" s="122"/>
      <c r="D13" s="122"/>
      <c r="E13" s="122"/>
      <c r="F13" s="11"/>
      <c r="H13">
        <f>FIND(" ",B13,1)</f>
        <v>4</v>
      </c>
    </row>
    <row r="14" spans="1:22">
      <c r="B14" s="122" t="s">
        <v>118</v>
      </c>
      <c r="C14" s="122"/>
      <c r="D14" s="122"/>
      <c r="E14" s="122"/>
      <c r="F14" s="12"/>
      <c r="H14">
        <f>FIND(" ",B14,1)</f>
        <v>6</v>
      </c>
    </row>
    <row r="15" spans="1:22">
      <c r="B15" s="122" t="s">
        <v>75</v>
      </c>
      <c r="C15" s="122"/>
      <c r="D15" s="122"/>
      <c r="E15" s="122"/>
      <c r="F15" s="12"/>
      <c r="H15">
        <f>FIND(" ",B15,1)</f>
        <v>7</v>
      </c>
    </row>
    <row r="16" spans="1:22">
      <c r="B16" s="122" t="s">
        <v>119</v>
      </c>
      <c r="C16" s="122"/>
      <c r="D16" s="122"/>
      <c r="E16" s="122"/>
      <c r="F16" s="12"/>
      <c r="H16">
        <f>FIND(" ",B16,1)</f>
        <v>6</v>
      </c>
    </row>
    <row r="17" spans="2:8" ht="18" thickBot="1">
      <c r="B17" s="122" t="s">
        <v>77</v>
      </c>
      <c r="C17" s="122"/>
      <c r="D17" s="122"/>
      <c r="E17" s="122"/>
      <c r="F17" s="13"/>
      <c r="H17">
        <f>FIND(" ",B17,1)</f>
        <v>4</v>
      </c>
    </row>
    <row r="19" spans="2:8" ht="21">
      <c r="B19" s="2" t="s">
        <v>124</v>
      </c>
      <c r="C19" s="2"/>
      <c r="D19" s="2"/>
      <c r="E19" s="2"/>
      <c r="F19" s="2"/>
    </row>
    <row r="20" spans="2:8" ht="18" thickBot="1">
      <c r="B20" t="s">
        <v>125</v>
      </c>
    </row>
    <row r="21" spans="2:8">
      <c r="B21" s="49" t="s">
        <v>73</v>
      </c>
      <c r="C21" s="50"/>
      <c r="D21" s="50"/>
      <c r="E21" s="47"/>
      <c r="F21" s="8"/>
    </row>
    <row r="22" spans="2:8">
      <c r="B22" s="51" t="s">
        <v>118</v>
      </c>
      <c r="C22" s="5"/>
      <c r="D22" s="5"/>
      <c r="F22" s="42"/>
    </row>
    <row r="23" spans="2:8">
      <c r="B23" s="51" t="s">
        <v>75</v>
      </c>
      <c r="C23" s="5"/>
      <c r="D23" s="5"/>
      <c r="F23" s="42"/>
    </row>
    <row r="24" spans="2:8">
      <c r="B24" s="51" t="s">
        <v>119</v>
      </c>
      <c r="C24" s="5"/>
      <c r="D24" s="5"/>
      <c r="F24" s="42"/>
    </row>
    <row r="25" spans="2:8" ht="18" thickBot="1">
      <c r="B25" s="52" t="s">
        <v>77</v>
      </c>
      <c r="C25" s="53"/>
      <c r="D25" s="53"/>
      <c r="E25" s="48"/>
      <c r="F25" s="10"/>
    </row>
  </sheetData>
  <mergeCells count="10">
    <mergeCell ref="B8:E8"/>
    <mergeCell ref="B7:E7"/>
    <mergeCell ref="B6:E6"/>
    <mergeCell ref="B5:E5"/>
    <mergeCell ref="B13:E13"/>
    <mergeCell ref="B14:E14"/>
    <mergeCell ref="B15:E15"/>
    <mergeCell ref="B16:E16"/>
    <mergeCell ref="B17:E17"/>
    <mergeCell ref="B9:E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A056-9994-434B-8CD4-185FD7CD4379}">
  <sheetPr codeName="Sheet5"/>
  <dimension ref="A1:V51"/>
  <sheetViews>
    <sheetView workbookViewId="0"/>
  </sheetViews>
  <sheetFormatPr defaultRowHeight="17.399999999999999"/>
  <cols>
    <col min="3" max="6" width="16.296875" customWidth="1"/>
  </cols>
  <sheetData>
    <row r="1" spans="1:22" s="2" customFormat="1" ht="24.6" customHeight="1">
      <c r="A1" s="2" t="s">
        <v>91</v>
      </c>
    </row>
    <row r="3" spans="1:22" ht="21">
      <c r="B3" s="2" t="s">
        <v>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5" spans="1:22" ht="18" thickBot="1">
      <c r="C5" s="5" t="s">
        <v>93</v>
      </c>
    </row>
    <row r="6" spans="1:22" ht="18" thickBot="1">
      <c r="C6" s="33"/>
    </row>
    <row r="8" spans="1:22" ht="18" thickBot="1">
      <c r="C8" s="5" t="s">
        <v>94</v>
      </c>
    </row>
    <row r="9" spans="1:22" ht="18" thickBot="1">
      <c r="C9" s="33"/>
      <c r="D9" s="34" t="s">
        <v>95</v>
      </c>
    </row>
    <row r="11" spans="1:22" ht="18" thickBot="1">
      <c r="C11" s="5" t="s">
        <v>96</v>
      </c>
    </row>
    <row r="12" spans="1:22" ht="18" thickBot="1">
      <c r="C12" s="33"/>
    </row>
    <row r="14" spans="1:22">
      <c r="C14" s="5" t="s">
        <v>226</v>
      </c>
    </row>
    <row r="15" spans="1:22" ht="18" thickBot="1">
      <c r="C15" s="35" t="s">
        <v>98</v>
      </c>
      <c r="D15" s="35" t="s">
        <v>99</v>
      </c>
      <c r="E15" s="35" t="s">
        <v>100</v>
      </c>
      <c r="F15" s="36" t="s">
        <v>101</v>
      </c>
    </row>
    <row r="16" spans="1:22" ht="18" thickBot="1">
      <c r="C16" s="33"/>
      <c r="D16" s="33"/>
      <c r="E16" s="33"/>
      <c r="F16" s="33"/>
    </row>
    <row r="17" spans="2:6">
      <c r="E17" s="38" t="s">
        <v>106</v>
      </c>
    </row>
    <row r="18" spans="2:6" ht="21">
      <c r="B18" s="2" t="s">
        <v>102</v>
      </c>
      <c r="C18" s="2"/>
      <c r="D18" s="2"/>
      <c r="E18" s="2"/>
      <c r="F18" s="2"/>
    </row>
    <row r="20" spans="2:6" ht="18" thickBot="1">
      <c r="C20" s="5" t="s">
        <v>103</v>
      </c>
    </row>
    <row r="21" spans="2:6" ht="18" thickBot="1">
      <c r="C21" s="33"/>
    </row>
    <row r="23" spans="2:6" ht="18" thickBot="1">
      <c r="C23" s="5" t="s">
        <v>94</v>
      </c>
      <c r="E23" s="34" t="s">
        <v>104</v>
      </c>
    </row>
    <row r="24" spans="2:6" ht="18" thickBot="1">
      <c r="C24" s="33"/>
      <c r="E24" s="37"/>
    </row>
    <row r="26" spans="2:6" ht="18" thickBot="1">
      <c r="C26" s="5" t="s">
        <v>96</v>
      </c>
    </row>
    <row r="27" spans="2:6" ht="18" thickBot="1">
      <c r="C27" s="33"/>
    </row>
    <row r="29" spans="2:6">
      <c r="C29" s="5" t="s">
        <v>97</v>
      </c>
    </row>
    <row r="30" spans="2:6" ht="18" thickBot="1">
      <c r="C30" s="35" t="s">
        <v>105</v>
      </c>
    </row>
    <row r="31" spans="2:6" ht="18" thickBot="1">
      <c r="C31" s="33"/>
    </row>
    <row r="33" spans="2:7" ht="21">
      <c r="B33" s="2" t="s">
        <v>219</v>
      </c>
      <c r="C33" s="2"/>
      <c r="D33" s="2"/>
      <c r="E33" s="2"/>
      <c r="F33" s="2"/>
    </row>
    <row r="35" spans="2:7" ht="18" thickBot="1">
      <c r="C35" s="5" t="s">
        <v>221</v>
      </c>
      <c r="E35" s="5" t="s">
        <v>222</v>
      </c>
    </row>
    <row r="36" spans="2:7" ht="18" thickBot="1">
      <c r="C36" s="74">
        <v>45681</v>
      </c>
      <c r="D36" s="75"/>
      <c r="E36" s="74">
        <v>0.45833333333333331</v>
      </c>
    </row>
    <row r="38" spans="2:7" ht="18" thickBot="1">
      <c r="C38" s="5" t="s">
        <v>223</v>
      </c>
      <c r="E38" s="5" t="s">
        <v>224</v>
      </c>
    </row>
    <row r="39" spans="2:7" ht="18" thickBot="1">
      <c r="C39" s="33"/>
      <c r="E39" s="33"/>
    </row>
    <row r="43" spans="2:7" ht="21">
      <c r="B43" s="2" t="s">
        <v>220</v>
      </c>
      <c r="C43" s="2"/>
      <c r="D43" s="76"/>
      <c r="E43" s="76"/>
      <c r="F43" s="76"/>
    </row>
    <row r="44" spans="2:7">
      <c r="C44" s="5" t="s">
        <v>110</v>
      </c>
    </row>
    <row r="45" spans="2:7" ht="62.4">
      <c r="C45" s="39" t="s">
        <v>109</v>
      </c>
      <c r="F45" s="40" t="s">
        <v>111</v>
      </c>
    </row>
    <row r="46" spans="2:7">
      <c r="C46" s="39"/>
    </row>
    <row r="47" spans="2:7" ht="18" thickBot="1">
      <c r="C47" s="5" t="s">
        <v>112</v>
      </c>
      <c r="F47" s="5" t="s">
        <v>113</v>
      </c>
    </row>
    <row r="48" spans="2:7">
      <c r="C48" s="7"/>
      <c r="D48" s="8" t="s">
        <v>114</v>
      </c>
      <c r="F48" s="7"/>
      <c r="G48" s="43">
        <v>1000</v>
      </c>
    </row>
    <row r="49" spans="3:7">
      <c r="C49" s="41"/>
      <c r="D49" s="42" t="s">
        <v>115</v>
      </c>
      <c r="F49" s="41"/>
      <c r="G49" s="44">
        <v>2000</v>
      </c>
    </row>
    <row r="50" spans="3:7">
      <c r="C50" s="41"/>
      <c r="D50" s="42" t="s">
        <v>116</v>
      </c>
      <c r="F50" s="41"/>
      <c r="G50" s="44">
        <v>3000</v>
      </c>
    </row>
    <row r="51" spans="3:7" ht="18" thickBot="1">
      <c r="C51" s="9" t="s">
        <v>11</v>
      </c>
      <c r="D51" s="46"/>
      <c r="F51" s="9" t="s">
        <v>11</v>
      </c>
      <c r="G51" s="45">
        <f>SUM(G48:G50)</f>
        <v>6000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89E2-87DA-4425-8D7A-BEC241262638}">
  <sheetPr codeName="Sheet7"/>
  <dimension ref="A1:W55"/>
  <sheetViews>
    <sheetView workbookViewId="0"/>
  </sheetViews>
  <sheetFormatPr defaultRowHeight="17.399999999999999"/>
  <cols>
    <col min="3" max="4" width="12.296875" customWidth="1"/>
    <col min="6" max="6" width="11.3984375" customWidth="1"/>
  </cols>
  <sheetData>
    <row r="1" spans="1:23" s="2" customFormat="1" ht="21">
      <c r="A1" s="2" t="s">
        <v>150</v>
      </c>
    </row>
    <row r="3" spans="1:23" ht="21">
      <c r="B3" s="2" t="s">
        <v>140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5" spans="1:23" ht="21">
      <c r="B5" s="54" t="s">
        <v>126</v>
      </c>
      <c r="F5" s="54" t="s">
        <v>141</v>
      </c>
    </row>
    <row r="7" spans="1:23">
      <c r="B7" s="55" t="s">
        <v>127</v>
      </c>
      <c r="C7" s="55" t="s">
        <v>128</v>
      </c>
      <c r="D7" s="55" t="s">
        <v>129</v>
      </c>
      <c r="F7" s="55" t="s">
        <v>142</v>
      </c>
      <c r="G7" s="55" t="s">
        <v>127</v>
      </c>
      <c r="H7" s="55" t="s">
        <v>144</v>
      </c>
      <c r="I7" s="55" t="s">
        <v>145</v>
      </c>
      <c r="J7" s="55" t="s">
        <v>251</v>
      </c>
      <c r="K7" s="55" t="s">
        <v>348</v>
      </c>
    </row>
    <row r="8" spans="1:23">
      <c r="B8" s="17" t="s">
        <v>130</v>
      </c>
      <c r="C8" s="17" t="s">
        <v>131</v>
      </c>
      <c r="D8" s="18">
        <v>2500</v>
      </c>
      <c r="F8" s="56">
        <v>45658</v>
      </c>
      <c r="G8" s="17" t="s">
        <v>134</v>
      </c>
      <c r="H8" s="17">
        <v>120</v>
      </c>
      <c r="I8" s="17"/>
      <c r="J8" s="17"/>
      <c r="K8" s="17"/>
    </row>
    <row r="9" spans="1:23">
      <c r="B9" s="17" t="s">
        <v>132</v>
      </c>
      <c r="C9" s="17" t="s">
        <v>133</v>
      </c>
      <c r="D9" s="18">
        <v>1750</v>
      </c>
      <c r="F9" s="56">
        <v>45659</v>
      </c>
      <c r="G9" s="17" t="s">
        <v>136</v>
      </c>
      <c r="H9" s="17">
        <v>90</v>
      </c>
      <c r="I9" s="17"/>
      <c r="J9" s="17"/>
      <c r="K9" s="17"/>
    </row>
    <row r="10" spans="1:23">
      <c r="B10" s="17" t="s">
        <v>134</v>
      </c>
      <c r="C10" s="17" t="s">
        <v>135</v>
      </c>
      <c r="D10" s="18">
        <v>2100</v>
      </c>
      <c r="F10" s="56">
        <v>45659</v>
      </c>
      <c r="G10" s="17" t="s">
        <v>138</v>
      </c>
      <c r="H10" s="17">
        <v>80</v>
      </c>
      <c r="I10" s="17"/>
      <c r="J10" s="17"/>
      <c r="K10" s="17"/>
    </row>
    <row r="11" spans="1:23">
      <c r="B11" s="17" t="s">
        <v>136</v>
      </c>
      <c r="C11" s="17" t="s">
        <v>137</v>
      </c>
      <c r="D11" s="18">
        <v>1400</v>
      </c>
      <c r="F11" s="56">
        <v>45660</v>
      </c>
      <c r="G11" s="17" t="s">
        <v>130</v>
      </c>
      <c r="H11" s="17">
        <v>200</v>
      </c>
      <c r="I11" s="17"/>
      <c r="J11" s="17"/>
      <c r="K11" s="17"/>
    </row>
    <row r="12" spans="1:23">
      <c r="B12" s="17" t="s">
        <v>138</v>
      </c>
      <c r="C12" s="17" t="s">
        <v>139</v>
      </c>
      <c r="D12" s="18">
        <v>2000</v>
      </c>
      <c r="F12" s="56">
        <v>45660</v>
      </c>
      <c r="G12" s="17" t="s">
        <v>134</v>
      </c>
      <c r="H12" s="17">
        <v>170</v>
      </c>
      <c r="I12" s="17"/>
      <c r="J12" s="17"/>
      <c r="K12" s="17"/>
    </row>
    <row r="13" spans="1:23">
      <c r="F13" s="56">
        <v>45661</v>
      </c>
      <c r="G13" s="17" t="s">
        <v>132</v>
      </c>
      <c r="H13" s="17">
        <v>130</v>
      </c>
      <c r="I13" s="17"/>
      <c r="J13" s="17"/>
      <c r="K13" s="17"/>
    </row>
    <row r="14" spans="1:23">
      <c r="F14" s="56">
        <v>45661</v>
      </c>
      <c r="G14" s="17" t="s">
        <v>138</v>
      </c>
      <c r="H14" s="17">
        <v>60</v>
      </c>
      <c r="I14" s="17"/>
      <c r="J14" s="17"/>
      <c r="K14" s="17"/>
    </row>
    <row r="15" spans="1:23">
      <c r="F15" s="56">
        <v>45662</v>
      </c>
      <c r="G15" s="17" t="s">
        <v>136</v>
      </c>
      <c r="H15" s="17">
        <v>180</v>
      </c>
      <c r="I15" s="17"/>
      <c r="J15" s="17"/>
      <c r="K15" s="17"/>
    </row>
    <row r="16" spans="1:23">
      <c r="F16" s="56">
        <v>45662</v>
      </c>
      <c r="G16" s="17" t="s">
        <v>134</v>
      </c>
      <c r="H16" s="17">
        <v>140</v>
      </c>
      <c r="I16" s="17"/>
      <c r="J16" s="17"/>
      <c r="K16" s="17"/>
    </row>
    <row r="17" spans="2:13">
      <c r="F17" s="56">
        <v>45663</v>
      </c>
      <c r="G17" s="17" t="s">
        <v>130</v>
      </c>
      <c r="H17" s="17">
        <v>220</v>
      </c>
      <c r="I17" s="17"/>
      <c r="J17" s="17"/>
      <c r="K17" s="17"/>
    </row>
    <row r="18" spans="2:13">
      <c r="F18" s="56">
        <v>45663</v>
      </c>
      <c r="G18" s="17" t="s">
        <v>132</v>
      </c>
      <c r="H18" s="17">
        <v>160</v>
      </c>
      <c r="I18" s="17"/>
      <c r="J18" s="17"/>
      <c r="K18" s="17"/>
    </row>
    <row r="19" spans="2:13">
      <c r="F19" s="56">
        <v>45663</v>
      </c>
      <c r="G19" s="17" t="s">
        <v>138</v>
      </c>
      <c r="H19" s="17">
        <v>70</v>
      </c>
      <c r="I19" s="17"/>
      <c r="J19" s="17"/>
      <c r="K19" s="17"/>
    </row>
    <row r="21" spans="2:13" ht="21">
      <c r="B21" s="2" t="s">
        <v>152</v>
      </c>
      <c r="C21" s="2"/>
      <c r="D21" s="2"/>
      <c r="E21" s="2"/>
      <c r="F21" s="2"/>
      <c r="G21" s="2"/>
      <c r="H21" s="2"/>
      <c r="I21" s="2"/>
      <c r="J21" s="2"/>
    </row>
    <row r="23" spans="2:13" ht="21">
      <c r="B23" s="54" t="s">
        <v>126</v>
      </c>
      <c r="F23" s="54" t="s">
        <v>141</v>
      </c>
    </row>
    <row r="25" spans="2:13">
      <c r="B25" s="55" t="s">
        <v>127</v>
      </c>
      <c r="C25" s="55" t="s">
        <v>128</v>
      </c>
      <c r="D25" s="55" t="s">
        <v>129</v>
      </c>
      <c r="F25" s="55" t="s">
        <v>142</v>
      </c>
      <c r="G25" s="55" t="s">
        <v>127</v>
      </c>
      <c r="H25" s="55" t="s">
        <v>144</v>
      </c>
      <c r="I25" s="55" t="s">
        <v>145</v>
      </c>
      <c r="J25" s="55" t="s">
        <v>10</v>
      </c>
    </row>
    <row r="26" spans="2:13">
      <c r="B26" s="17" t="s">
        <v>130</v>
      </c>
      <c r="C26" s="17" t="s">
        <v>131</v>
      </c>
      <c r="D26" s="18">
        <v>2500</v>
      </c>
      <c r="F26" s="56">
        <v>45658</v>
      </c>
      <c r="G26" s="17" t="s">
        <v>134</v>
      </c>
      <c r="H26" s="17">
        <v>120</v>
      </c>
      <c r="I26" s="17"/>
      <c r="J26" s="17"/>
      <c r="M26" s="23" t="s">
        <v>146</v>
      </c>
    </row>
    <row r="27" spans="2:13">
      <c r="B27" s="17" t="s">
        <v>132</v>
      </c>
      <c r="C27" s="17" t="s">
        <v>133</v>
      </c>
      <c r="D27" s="18">
        <v>1750</v>
      </c>
      <c r="F27" s="56">
        <v>45659</v>
      </c>
      <c r="G27" s="17" t="s">
        <v>136</v>
      </c>
      <c r="H27" s="17">
        <v>90</v>
      </c>
      <c r="I27" s="17"/>
      <c r="J27" s="17"/>
      <c r="M27" t="s">
        <v>147</v>
      </c>
    </row>
    <row r="28" spans="2:13">
      <c r="B28" s="17" t="s">
        <v>134</v>
      </c>
      <c r="C28" s="17" t="s">
        <v>135</v>
      </c>
      <c r="D28" s="18">
        <v>2100</v>
      </c>
      <c r="F28" s="56">
        <v>45659</v>
      </c>
      <c r="G28" s="17" t="s">
        <v>138</v>
      </c>
      <c r="H28" s="17">
        <v>80</v>
      </c>
      <c r="I28" s="17"/>
      <c r="J28" s="17"/>
    </row>
    <row r="29" spans="2:13">
      <c r="B29" s="17" t="s">
        <v>136</v>
      </c>
      <c r="C29" s="17" t="s">
        <v>137</v>
      </c>
      <c r="D29" s="18">
        <v>1400</v>
      </c>
      <c r="F29" s="56">
        <v>45660</v>
      </c>
      <c r="G29" s="17" t="s">
        <v>130</v>
      </c>
      <c r="H29" s="17">
        <v>200</v>
      </c>
      <c r="I29" s="17"/>
      <c r="J29" s="17"/>
    </row>
    <row r="30" spans="2:13">
      <c r="B30" s="17" t="s">
        <v>138</v>
      </c>
      <c r="C30" s="17" t="s">
        <v>139</v>
      </c>
      <c r="D30" s="18">
        <v>2000</v>
      </c>
      <c r="F30" s="56">
        <v>45660</v>
      </c>
      <c r="G30" s="17" t="s">
        <v>134</v>
      </c>
      <c r="H30" s="17">
        <v>170</v>
      </c>
      <c r="I30" s="17"/>
      <c r="J30" s="17"/>
    </row>
    <row r="31" spans="2:13">
      <c r="F31" s="56">
        <v>45661</v>
      </c>
      <c r="G31" s="17" t="s">
        <v>132</v>
      </c>
      <c r="H31" s="17">
        <v>130</v>
      </c>
      <c r="I31" s="17"/>
      <c r="J31" s="17"/>
    </row>
    <row r="32" spans="2:13">
      <c r="F32" s="56">
        <v>45661</v>
      </c>
      <c r="G32" s="17" t="s">
        <v>138</v>
      </c>
      <c r="H32" s="17">
        <v>60</v>
      </c>
      <c r="I32" s="17"/>
      <c r="J32" s="17"/>
    </row>
    <row r="33" spans="2:13">
      <c r="F33" s="56">
        <v>45662</v>
      </c>
      <c r="G33" s="17" t="s">
        <v>136</v>
      </c>
      <c r="H33" s="17">
        <v>180</v>
      </c>
      <c r="I33" s="17"/>
      <c r="J33" s="17"/>
    </row>
    <row r="34" spans="2:13">
      <c r="F34" s="56">
        <v>45662</v>
      </c>
      <c r="G34" s="17" t="s">
        <v>134</v>
      </c>
      <c r="H34" s="17">
        <v>140</v>
      </c>
      <c r="I34" s="17"/>
      <c r="J34" s="17"/>
    </row>
    <row r="35" spans="2:13">
      <c r="F35" s="56">
        <v>45663</v>
      </c>
      <c r="G35" s="17" t="s">
        <v>130</v>
      </c>
      <c r="H35" s="17">
        <v>220</v>
      </c>
      <c r="I35" s="17"/>
      <c r="J35" s="17"/>
    </row>
    <row r="36" spans="2:13">
      <c r="F36" s="56">
        <v>45663</v>
      </c>
      <c r="G36" s="17" t="s">
        <v>132</v>
      </c>
      <c r="H36" s="17">
        <v>160</v>
      </c>
      <c r="I36" s="17"/>
      <c r="J36" s="17"/>
    </row>
    <row r="37" spans="2:13">
      <c r="F37" s="56">
        <v>45663</v>
      </c>
      <c r="G37" s="17" t="s">
        <v>138</v>
      </c>
      <c r="H37" s="17">
        <v>70</v>
      </c>
      <c r="I37" s="17"/>
      <c r="J37" s="17"/>
    </row>
    <row r="39" spans="2:13" ht="21">
      <c r="B39" s="2" t="s">
        <v>153</v>
      </c>
      <c r="C39" s="2"/>
      <c r="D39" s="2"/>
      <c r="E39" s="2"/>
      <c r="F39" s="2"/>
      <c r="G39" s="2"/>
      <c r="H39" s="2"/>
      <c r="I39" s="2"/>
      <c r="J39" s="2"/>
    </row>
    <row r="41" spans="2:13" ht="21">
      <c r="B41" s="54" t="s">
        <v>126</v>
      </c>
      <c r="F41" s="54" t="s">
        <v>141</v>
      </c>
    </row>
    <row r="43" spans="2:13">
      <c r="B43" s="55" t="s">
        <v>127</v>
      </c>
      <c r="C43" s="55" t="s">
        <v>128</v>
      </c>
      <c r="D43" s="55" t="s">
        <v>129</v>
      </c>
      <c r="F43" s="55" t="s">
        <v>142</v>
      </c>
      <c r="G43" s="55" t="s">
        <v>127</v>
      </c>
      <c r="H43" s="55" t="s">
        <v>144</v>
      </c>
      <c r="I43" s="55" t="s">
        <v>145</v>
      </c>
      <c r="J43" s="55" t="s">
        <v>10</v>
      </c>
    </row>
    <row r="44" spans="2:13">
      <c r="B44" s="17" t="s">
        <v>130</v>
      </c>
      <c r="C44" s="17" t="s">
        <v>131</v>
      </c>
      <c r="D44" s="18">
        <v>2500</v>
      </c>
      <c r="F44" s="56">
        <v>45658</v>
      </c>
      <c r="G44" s="17" t="s">
        <v>134</v>
      </c>
      <c r="H44" s="17">
        <v>120</v>
      </c>
      <c r="I44" s="17"/>
      <c r="J44" s="17"/>
      <c r="M44" t="s">
        <v>148</v>
      </c>
    </row>
    <row r="45" spans="2:13">
      <c r="B45" s="17" t="s">
        <v>132</v>
      </c>
      <c r="C45" s="17" t="s">
        <v>133</v>
      </c>
      <c r="D45" s="18">
        <v>1750</v>
      </c>
      <c r="F45" s="56">
        <v>45659</v>
      </c>
      <c r="G45" s="17" t="s">
        <v>136</v>
      </c>
      <c r="H45" s="17">
        <v>90</v>
      </c>
      <c r="I45" s="17"/>
      <c r="J45" s="17"/>
      <c r="M45" t="s">
        <v>149</v>
      </c>
    </row>
    <row r="46" spans="2:13">
      <c r="B46" s="17" t="s">
        <v>134</v>
      </c>
      <c r="C46" s="17" t="s">
        <v>135</v>
      </c>
      <c r="D46" s="18">
        <v>2100</v>
      </c>
      <c r="F46" s="56">
        <v>45659</v>
      </c>
      <c r="G46" s="17" t="s">
        <v>138</v>
      </c>
      <c r="H46" s="17">
        <v>80</v>
      </c>
      <c r="I46" s="17"/>
      <c r="J46" s="17"/>
    </row>
    <row r="47" spans="2:13">
      <c r="B47" s="17" t="s">
        <v>136</v>
      </c>
      <c r="C47" s="17" t="s">
        <v>137</v>
      </c>
      <c r="D47" s="18">
        <v>1400</v>
      </c>
      <c r="F47" s="56">
        <v>45660</v>
      </c>
      <c r="G47" s="17" t="s">
        <v>130</v>
      </c>
      <c r="H47" s="17">
        <v>200</v>
      </c>
      <c r="I47" s="17"/>
      <c r="J47" s="17"/>
      <c r="M47" t="s">
        <v>151</v>
      </c>
    </row>
    <row r="48" spans="2:13">
      <c r="B48" s="17" t="s">
        <v>138</v>
      </c>
      <c r="C48" s="17" t="s">
        <v>139</v>
      </c>
      <c r="D48" s="18">
        <v>2000</v>
      </c>
      <c r="F48" s="56">
        <v>45660</v>
      </c>
      <c r="G48" s="17" t="s">
        <v>134</v>
      </c>
      <c r="H48" s="17">
        <v>170</v>
      </c>
      <c r="I48" s="17"/>
      <c r="J48" s="17"/>
    </row>
    <row r="49" spans="6:10">
      <c r="F49" s="56">
        <v>45661</v>
      </c>
      <c r="G49" s="17" t="s">
        <v>132</v>
      </c>
      <c r="H49" s="17">
        <v>130</v>
      </c>
      <c r="I49" s="17"/>
      <c r="J49" s="17"/>
    </row>
    <row r="50" spans="6:10">
      <c r="F50" s="56">
        <v>45661</v>
      </c>
      <c r="G50" s="17" t="s">
        <v>138</v>
      </c>
      <c r="H50" s="17">
        <v>60</v>
      </c>
      <c r="I50" s="17"/>
      <c r="J50" s="17"/>
    </row>
    <row r="51" spans="6:10">
      <c r="F51" s="56">
        <v>45662</v>
      </c>
      <c r="G51" s="17" t="s">
        <v>136</v>
      </c>
      <c r="H51" s="17">
        <v>180</v>
      </c>
      <c r="I51" s="17"/>
      <c r="J51" s="17"/>
    </row>
    <row r="52" spans="6:10">
      <c r="F52" s="56">
        <v>45662</v>
      </c>
      <c r="G52" s="17" t="s">
        <v>134</v>
      </c>
      <c r="H52" s="17">
        <v>140</v>
      </c>
      <c r="I52" s="17"/>
      <c r="J52" s="17"/>
    </row>
    <row r="53" spans="6:10">
      <c r="F53" s="56">
        <v>45663</v>
      </c>
      <c r="G53" s="17" t="s">
        <v>130</v>
      </c>
      <c r="H53" s="17">
        <v>220</v>
      </c>
      <c r="I53" s="17"/>
      <c r="J53" s="17"/>
    </row>
    <row r="54" spans="6:10">
      <c r="F54" s="56">
        <v>45663</v>
      </c>
      <c r="G54" s="17" t="s">
        <v>132</v>
      </c>
      <c r="H54" s="17">
        <v>160</v>
      </c>
      <c r="I54" s="17"/>
      <c r="J54" s="17"/>
    </row>
    <row r="55" spans="6:10">
      <c r="F55" s="56">
        <v>45663</v>
      </c>
      <c r="G55" s="17" t="s">
        <v>138</v>
      </c>
      <c r="H55" s="17">
        <v>70</v>
      </c>
      <c r="I55" s="17"/>
      <c r="J55" s="1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59F0-5CA8-401D-9517-3FB04D303BF8}">
  <sheetPr codeName="Sheet8"/>
  <dimension ref="A1:W22"/>
  <sheetViews>
    <sheetView workbookViewId="0"/>
  </sheetViews>
  <sheetFormatPr defaultRowHeight="17.399999999999999"/>
  <cols>
    <col min="2" max="2" width="10.3984375" customWidth="1"/>
    <col min="3" max="5" width="17.3984375" customWidth="1"/>
    <col min="8" max="8" width="14.69921875" hidden="1" customWidth="1"/>
    <col min="9" max="9" width="22" hidden="1" customWidth="1"/>
    <col min="10" max="10" width="23.296875" hidden="1" customWidth="1"/>
  </cols>
  <sheetData>
    <row r="1" spans="1:23" s="2" customFormat="1" ht="21">
      <c r="A1" s="2" t="s">
        <v>163</v>
      </c>
    </row>
    <row r="2" spans="1:23" ht="21">
      <c r="B2" s="2" t="s">
        <v>164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spans="1:23">
      <c r="B4" s="57"/>
      <c r="C4" s="58" t="s">
        <v>154</v>
      </c>
      <c r="D4" s="58" t="s">
        <v>155</v>
      </c>
      <c r="E4" s="58" t="s">
        <v>156</v>
      </c>
    </row>
    <row r="5" spans="1:23">
      <c r="B5" s="59" t="s">
        <v>157</v>
      </c>
      <c r="C5" s="59">
        <v>30</v>
      </c>
      <c r="D5" s="59">
        <v>30</v>
      </c>
      <c r="E5" s="59">
        <v>30</v>
      </c>
      <c r="G5" t="s">
        <v>199</v>
      </c>
    </row>
    <row r="6" spans="1:23">
      <c r="B6" s="59" t="s">
        <v>158</v>
      </c>
      <c r="C6" s="59">
        <v>20</v>
      </c>
      <c r="D6" s="59">
        <v>20</v>
      </c>
      <c r="E6" s="59">
        <v>20</v>
      </c>
    </row>
    <row r="7" spans="1:23">
      <c r="B7" s="60" t="s">
        <v>159</v>
      </c>
      <c r="C7" s="60"/>
      <c r="D7" s="60"/>
      <c r="E7" s="60"/>
      <c r="H7" t="s">
        <v>172</v>
      </c>
      <c r="I7" t="s">
        <v>173</v>
      </c>
      <c r="J7" t="s">
        <v>174</v>
      </c>
    </row>
    <row r="8" spans="1:23">
      <c r="B8" s="59" t="s">
        <v>160</v>
      </c>
      <c r="C8" s="59">
        <v>15</v>
      </c>
      <c r="D8" s="59">
        <v>15</v>
      </c>
      <c r="E8" s="59">
        <v>15</v>
      </c>
    </row>
    <row r="9" spans="1:23">
      <c r="B9" s="59" t="s">
        <v>161</v>
      </c>
      <c r="C9" s="59">
        <v>30</v>
      </c>
      <c r="D9" s="59">
        <v>30</v>
      </c>
      <c r="E9" s="59">
        <v>30</v>
      </c>
    </row>
    <row r="10" spans="1:23">
      <c r="B10" s="60" t="s">
        <v>162</v>
      </c>
      <c r="C10" s="60"/>
      <c r="D10" s="60"/>
      <c r="E10" s="60"/>
      <c r="H10" t="s">
        <v>175</v>
      </c>
      <c r="I10" t="s">
        <v>176</v>
      </c>
      <c r="J10" t="s">
        <v>177</v>
      </c>
      <c r="K10" s="34"/>
      <c r="L10" s="77"/>
    </row>
    <row r="11" spans="1:23">
      <c r="B11" s="61" t="s">
        <v>11</v>
      </c>
      <c r="C11" s="62"/>
      <c r="D11" s="62"/>
      <c r="E11" s="62"/>
      <c r="H11" t="s">
        <v>166</v>
      </c>
      <c r="I11" t="s">
        <v>167</v>
      </c>
      <c r="J11" t="s">
        <v>168</v>
      </c>
    </row>
    <row r="13" spans="1:23" ht="21">
      <c r="B13" s="2" t="s">
        <v>165</v>
      </c>
      <c r="C13" s="2"/>
      <c r="D13" s="2"/>
      <c r="E13" s="2"/>
    </row>
    <row r="15" spans="1:23">
      <c r="B15" s="57"/>
      <c r="C15" s="58" t="s">
        <v>154</v>
      </c>
      <c r="D15" s="58" t="s">
        <v>155</v>
      </c>
      <c r="E15" s="58" t="s">
        <v>156</v>
      </c>
    </row>
    <row r="16" spans="1:23">
      <c r="B16" s="59" t="s">
        <v>157</v>
      </c>
      <c r="C16" s="59">
        <v>30</v>
      </c>
      <c r="D16" s="59">
        <v>30</v>
      </c>
      <c r="E16" s="59">
        <v>30</v>
      </c>
    </row>
    <row r="17" spans="2:10">
      <c r="B17" s="59" t="s">
        <v>158</v>
      </c>
      <c r="C17" s="59">
        <v>20</v>
      </c>
      <c r="D17" s="59">
        <v>20</v>
      </c>
      <c r="E17" s="59">
        <v>20</v>
      </c>
    </row>
    <row r="18" spans="2:10">
      <c r="B18" s="60" t="s">
        <v>159</v>
      </c>
      <c r="C18" s="60"/>
      <c r="D18" s="60"/>
      <c r="E18" s="60"/>
      <c r="H18" t="s">
        <v>178</v>
      </c>
      <c r="I18" t="s">
        <v>179</v>
      </c>
      <c r="J18" t="s">
        <v>180</v>
      </c>
    </row>
    <row r="19" spans="2:10">
      <c r="B19" s="59" t="s">
        <v>160</v>
      </c>
      <c r="C19" s="59">
        <v>15</v>
      </c>
      <c r="D19" s="59">
        <v>15</v>
      </c>
      <c r="E19" s="59">
        <v>15</v>
      </c>
    </row>
    <row r="20" spans="2:10">
      <c r="B20" s="59" t="s">
        <v>161</v>
      </c>
      <c r="C20" s="59">
        <v>30</v>
      </c>
      <c r="D20" s="59">
        <v>30</v>
      </c>
      <c r="E20" s="59">
        <v>30</v>
      </c>
    </row>
    <row r="21" spans="2:10">
      <c r="B21" s="60" t="s">
        <v>162</v>
      </c>
      <c r="C21" s="60"/>
      <c r="D21" s="60"/>
      <c r="E21" s="60"/>
      <c r="H21" t="s">
        <v>181</v>
      </c>
      <c r="I21" t="s">
        <v>182</v>
      </c>
      <c r="J21" t="s">
        <v>183</v>
      </c>
    </row>
    <row r="22" spans="2:10">
      <c r="B22" s="61" t="s">
        <v>11</v>
      </c>
      <c r="C22" s="62"/>
      <c r="D22" s="62"/>
      <c r="E22" s="62"/>
      <c r="H22" t="s">
        <v>169</v>
      </c>
      <c r="I22" t="s">
        <v>170</v>
      </c>
      <c r="J22" t="s">
        <v>171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D926-5062-4832-890E-5175DC710A3E}">
  <sheetPr codeName="Sheet9"/>
  <dimension ref="A1:U47"/>
  <sheetViews>
    <sheetView workbookViewId="0"/>
  </sheetViews>
  <sheetFormatPr defaultRowHeight="17.399999999999999"/>
  <cols>
    <col min="2" max="2" width="11.296875" bestFit="1" customWidth="1"/>
    <col min="3" max="3" width="8.59765625" bestFit="1" customWidth="1"/>
    <col min="4" max="4" width="8.59765625" customWidth="1"/>
    <col min="5" max="5" width="12.3984375" bestFit="1" customWidth="1"/>
    <col min="6" max="6" width="8.59765625" bestFit="1" customWidth="1"/>
    <col min="7" max="7" width="11.69921875" bestFit="1" customWidth="1"/>
    <col min="8" max="8" width="10" customWidth="1"/>
    <col min="9" max="9" width="11.69921875" bestFit="1" customWidth="1"/>
  </cols>
  <sheetData>
    <row r="1" spans="1:21" s="2" customFormat="1" ht="21">
      <c r="A1" s="2" t="s">
        <v>184</v>
      </c>
    </row>
    <row r="2" spans="1:21" ht="21">
      <c r="B2" s="2" t="s">
        <v>188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B3" t="s">
        <v>189</v>
      </c>
    </row>
    <row r="4" spans="1:21">
      <c r="H4" s="68" t="s">
        <v>195</v>
      </c>
    </row>
    <row r="5" spans="1:21">
      <c r="B5" s="64" t="s">
        <v>190</v>
      </c>
      <c r="C5" s="64" t="s">
        <v>185</v>
      </c>
      <c r="D5" s="64" t="s">
        <v>127</v>
      </c>
      <c r="E5" s="64" t="s">
        <v>128</v>
      </c>
      <c r="F5" s="64" t="s">
        <v>129</v>
      </c>
      <c r="G5" s="64" t="s">
        <v>143</v>
      </c>
      <c r="H5" s="64" t="s">
        <v>186</v>
      </c>
    </row>
    <row r="6" spans="1:21">
      <c r="B6" s="123" t="s">
        <v>191</v>
      </c>
      <c r="C6" s="123" t="s">
        <v>38</v>
      </c>
      <c r="D6" s="1" t="s">
        <v>130</v>
      </c>
      <c r="E6" s="1" t="s">
        <v>131</v>
      </c>
      <c r="F6" s="63">
        <v>2500</v>
      </c>
      <c r="G6" s="1">
        <v>150</v>
      </c>
      <c r="H6" s="63">
        <v>375000</v>
      </c>
      <c r="J6" s="65" t="s">
        <v>193</v>
      </c>
      <c r="K6" s="66"/>
      <c r="L6" s="66"/>
      <c r="M6" s="66"/>
      <c r="N6" s="66"/>
    </row>
    <row r="7" spans="1:21">
      <c r="B7" s="124"/>
      <c r="C7" s="124"/>
      <c r="D7" s="1" t="s">
        <v>132</v>
      </c>
      <c r="E7" s="1" t="s">
        <v>133</v>
      </c>
      <c r="F7" s="63">
        <v>1750</v>
      </c>
      <c r="G7" s="1">
        <v>100</v>
      </c>
      <c r="H7" s="63">
        <v>175000</v>
      </c>
      <c r="J7" s="67" t="s">
        <v>350</v>
      </c>
      <c r="K7" s="66"/>
      <c r="L7" s="66"/>
      <c r="M7" s="66"/>
      <c r="N7" s="66"/>
    </row>
    <row r="8" spans="1:21">
      <c r="B8" s="124"/>
      <c r="C8" s="125"/>
      <c r="D8" s="1" t="s">
        <v>134</v>
      </c>
      <c r="E8" s="1" t="s">
        <v>135</v>
      </c>
      <c r="F8" s="63">
        <v>2100</v>
      </c>
      <c r="G8" s="1">
        <v>120</v>
      </c>
      <c r="H8" s="63">
        <v>252000</v>
      </c>
      <c r="J8" s="67" t="s">
        <v>196</v>
      </c>
      <c r="K8" s="66"/>
      <c r="L8" s="66"/>
      <c r="M8" s="66"/>
      <c r="N8" s="66"/>
    </row>
    <row r="9" spans="1:21">
      <c r="B9" s="124"/>
      <c r="C9" s="123" t="s">
        <v>40</v>
      </c>
      <c r="D9" s="1" t="s">
        <v>136</v>
      </c>
      <c r="E9" s="1" t="s">
        <v>137</v>
      </c>
      <c r="F9" s="63">
        <v>1400</v>
      </c>
      <c r="G9" s="1">
        <v>150</v>
      </c>
      <c r="H9" s="63">
        <v>210000</v>
      </c>
      <c r="J9" s="67" t="s">
        <v>197</v>
      </c>
      <c r="K9" s="66"/>
      <c r="L9" s="66"/>
      <c r="M9" s="66"/>
      <c r="N9" s="66"/>
    </row>
    <row r="10" spans="1:21">
      <c r="B10" s="124"/>
      <c r="C10" s="124"/>
      <c r="D10" s="1" t="s">
        <v>130</v>
      </c>
      <c r="E10" s="1" t="s">
        <v>131</v>
      </c>
      <c r="F10" s="63">
        <v>2500</v>
      </c>
      <c r="G10" s="1">
        <v>110</v>
      </c>
      <c r="H10" s="63">
        <v>275000</v>
      </c>
      <c r="J10" s="67" t="s">
        <v>198</v>
      </c>
      <c r="K10" s="66"/>
      <c r="L10" s="66"/>
      <c r="M10" s="66"/>
      <c r="N10" s="66"/>
    </row>
    <row r="11" spans="1:21">
      <c r="B11" s="124"/>
      <c r="C11" s="124"/>
      <c r="D11" s="1" t="s">
        <v>132</v>
      </c>
      <c r="E11" s="1" t="s">
        <v>133</v>
      </c>
      <c r="F11" s="63">
        <v>1750</v>
      </c>
      <c r="G11" s="1">
        <v>160</v>
      </c>
      <c r="H11" s="63">
        <v>280000</v>
      </c>
    </row>
    <row r="12" spans="1:21">
      <c r="B12" s="124"/>
      <c r="C12" s="124"/>
      <c r="D12" s="1" t="s">
        <v>134</v>
      </c>
      <c r="E12" s="1" t="s">
        <v>135</v>
      </c>
      <c r="F12" s="63">
        <v>2100</v>
      </c>
      <c r="G12" s="1">
        <v>140</v>
      </c>
      <c r="H12" s="63">
        <v>294000</v>
      </c>
    </row>
    <row r="13" spans="1:21">
      <c r="B13" s="124"/>
      <c r="C13" s="125"/>
      <c r="D13" s="1" t="s">
        <v>138</v>
      </c>
      <c r="E13" s="1" t="s">
        <v>139</v>
      </c>
      <c r="F13" s="63">
        <v>2000</v>
      </c>
      <c r="G13" s="1">
        <v>70</v>
      </c>
      <c r="H13" s="63">
        <v>140000</v>
      </c>
    </row>
    <row r="14" spans="1:21">
      <c r="B14" s="124"/>
      <c r="C14" s="123" t="s">
        <v>187</v>
      </c>
      <c r="D14" s="1" t="s">
        <v>136</v>
      </c>
      <c r="E14" s="1" t="s">
        <v>137</v>
      </c>
      <c r="F14" s="63">
        <v>1400</v>
      </c>
      <c r="G14" s="1">
        <v>120</v>
      </c>
      <c r="H14" s="63">
        <v>168000</v>
      </c>
    </row>
    <row r="15" spans="1:21">
      <c r="B15" s="124"/>
      <c r="C15" s="124"/>
      <c r="D15" s="1" t="s">
        <v>130</v>
      </c>
      <c r="E15" s="1" t="s">
        <v>131</v>
      </c>
      <c r="F15" s="63">
        <v>2500</v>
      </c>
      <c r="G15" s="1">
        <v>180</v>
      </c>
      <c r="H15" s="63">
        <v>450000</v>
      </c>
    </row>
    <row r="16" spans="1:21">
      <c r="B16" s="124"/>
      <c r="C16" s="124"/>
      <c r="D16" s="1" t="s">
        <v>134</v>
      </c>
      <c r="E16" s="1" t="s">
        <v>135</v>
      </c>
      <c r="F16" s="63">
        <v>2100</v>
      </c>
      <c r="G16" s="1">
        <v>200</v>
      </c>
      <c r="H16" s="63">
        <v>420000</v>
      </c>
    </row>
    <row r="17" spans="2:21">
      <c r="B17" s="124"/>
      <c r="C17" s="124"/>
      <c r="D17" s="1" t="s">
        <v>132</v>
      </c>
      <c r="E17" s="1" t="s">
        <v>133</v>
      </c>
      <c r="F17" s="63">
        <v>1750</v>
      </c>
      <c r="G17" s="1">
        <v>150</v>
      </c>
      <c r="H17" s="63">
        <v>262500</v>
      </c>
    </row>
    <row r="18" spans="2:21">
      <c r="B18" s="125"/>
      <c r="C18" s="125"/>
      <c r="D18" s="1" t="s">
        <v>138</v>
      </c>
      <c r="E18" s="1" t="s">
        <v>139</v>
      </c>
      <c r="F18" s="63">
        <v>2000</v>
      </c>
      <c r="G18" s="1">
        <v>110</v>
      </c>
      <c r="H18" s="63">
        <v>220000</v>
      </c>
    </row>
    <row r="19" spans="2:21">
      <c r="B19" s="123" t="s">
        <v>192</v>
      </c>
      <c r="C19" s="123" t="s">
        <v>39</v>
      </c>
      <c r="D19" s="1" t="s">
        <v>136</v>
      </c>
      <c r="E19" s="1" t="s">
        <v>137</v>
      </c>
      <c r="F19" s="63">
        <v>1400</v>
      </c>
      <c r="G19" s="1">
        <v>200</v>
      </c>
      <c r="H19" s="63">
        <v>280000</v>
      </c>
    </row>
    <row r="20" spans="2:21">
      <c r="B20" s="124"/>
      <c r="C20" s="124"/>
      <c r="D20" s="1" t="s">
        <v>138</v>
      </c>
      <c r="E20" s="1" t="s">
        <v>139</v>
      </c>
      <c r="F20" s="63">
        <v>2000</v>
      </c>
      <c r="G20" s="1">
        <v>180</v>
      </c>
      <c r="H20" s="63">
        <v>360000</v>
      </c>
    </row>
    <row r="21" spans="2:21">
      <c r="B21" s="124"/>
      <c r="C21" s="125"/>
      <c r="D21" s="1" t="s">
        <v>130</v>
      </c>
      <c r="E21" s="1" t="s">
        <v>131</v>
      </c>
      <c r="F21" s="63">
        <v>2500</v>
      </c>
      <c r="G21" s="1">
        <v>220</v>
      </c>
      <c r="H21" s="63">
        <v>550000</v>
      </c>
    </row>
    <row r="22" spans="2:21">
      <c r="B22" s="124"/>
      <c r="C22" s="123" t="s">
        <v>58</v>
      </c>
      <c r="D22" s="1" t="s">
        <v>132</v>
      </c>
      <c r="E22" s="1" t="s">
        <v>133</v>
      </c>
      <c r="F22" s="63">
        <v>1750</v>
      </c>
      <c r="G22" s="1">
        <v>130</v>
      </c>
      <c r="H22" s="63">
        <v>227500</v>
      </c>
    </row>
    <row r="23" spans="2:21">
      <c r="B23" s="124"/>
      <c r="C23" s="124"/>
      <c r="D23" s="1" t="s">
        <v>134</v>
      </c>
      <c r="E23" s="1" t="s">
        <v>135</v>
      </c>
      <c r="F23" s="63">
        <v>2100</v>
      </c>
      <c r="G23" s="1">
        <v>170</v>
      </c>
      <c r="H23" s="63">
        <v>357000</v>
      </c>
    </row>
    <row r="24" spans="2:21">
      <c r="B24" s="125"/>
      <c r="C24" s="125"/>
      <c r="D24" s="1" t="s">
        <v>138</v>
      </c>
      <c r="E24" s="1" t="s">
        <v>139</v>
      </c>
      <c r="F24" s="63">
        <v>2000</v>
      </c>
      <c r="G24" s="1">
        <v>90</v>
      </c>
      <c r="H24" s="63">
        <v>180000</v>
      </c>
    </row>
    <row r="27" spans="2:21" ht="21">
      <c r="B27" s="2" t="s">
        <v>194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2:21">
      <c r="B28" s="64" t="s">
        <v>190</v>
      </c>
      <c r="C28" s="64" t="s">
        <v>185</v>
      </c>
      <c r="D28" s="64" t="s">
        <v>127</v>
      </c>
      <c r="E28" s="64" t="s">
        <v>128</v>
      </c>
      <c r="F28" s="64" t="s">
        <v>129</v>
      </c>
      <c r="G28" s="64" t="s">
        <v>143</v>
      </c>
      <c r="H28" s="64" t="s">
        <v>186</v>
      </c>
    </row>
    <row r="29" spans="2:21">
      <c r="B29" s="123" t="s">
        <v>191</v>
      </c>
      <c r="C29" s="123" t="s">
        <v>38</v>
      </c>
      <c r="D29" s="1" t="s">
        <v>130</v>
      </c>
      <c r="E29" s="1" t="s">
        <v>131</v>
      </c>
      <c r="F29" s="63">
        <v>2500</v>
      </c>
      <c r="G29" s="1">
        <v>150</v>
      </c>
      <c r="H29" s="63">
        <v>375000</v>
      </c>
    </row>
    <row r="30" spans="2:21">
      <c r="B30" s="124"/>
      <c r="C30" s="124"/>
      <c r="D30" s="1" t="s">
        <v>132</v>
      </c>
      <c r="E30" s="1" t="s">
        <v>133</v>
      </c>
      <c r="F30" s="63">
        <v>1750</v>
      </c>
      <c r="G30" s="1">
        <v>100</v>
      </c>
      <c r="H30" s="63">
        <v>175000</v>
      </c>
    </row>
    <row r="31" spans="2:21">
      <c r="B31" s="124"/>
      <c r="C31" s="125"/>
      <c r="D31" s="1" t="s">
        <v>134</v>
      </c>
      <c r="E31" s="1" t="s">
        <v>135</v>
      </c>
      <c r="F31" s="63">
        <v>2100</v>
      </c>
      <c r="G31" s="1">
        <v>120</v>
      </c>
      <c r="H31" s="63">
        <v>252000</v>
      </c>
    </row>
    <row r="32" spans="2:21">
      <c r="B32" s="124"/>
      <c r="C32" s="123" t="s">
        <v>40</v>
      </c>
      <c r="D32" s="1" t="s">
        <v>136</v>
      </c>
      <c r="E32" s="1" t="s">
        <v>137</v>
      </c>
      <c r="F32" s="63">
        <v>1400</v>
      </c>
      <c r="G32" s="1">
        <v>150</v>
      </c>
      <c r="H32" s="63">
        <v>210000</v>
      </c>
    </row>
    <row r="33" spans="2:8">
      <c r="B33" s="124"/>
      <c r="C33" s="124"/>
      <c r="D33" s="1" t="s">
        <v>130</v>
      </c>
      <c r="E33" s="1" t="s">
        <v>131</v>
      </c>
      <c r="F33" s="63">
        <v>2500</v>
      </c>
      <c r="G33" s="1">
        <v>110</v>
      </c>
      <c r="H33" s="63">
        <v>275000</v>
      </c>
    </row>
    <row r="34" spans="2:8">
      <c r="B34" s="124"/>
      <c r="C34" s="124"/>
      <c r="D34" s="1" t="s">
        <v>132</v>
      </c>
      <c r="E34" s="1" t="s">
        <v>133</v>
      </c>
      <c r="F34" s="63">
        <v>1750</v>
      </c>
      <c r="G34" s="1">
        <v>160</v>
      </c>
      <c r="H34" s="63">
        <v>280000</v>
      </c>
    </row>
    <row r="35" spans="2:8">
      <c r="B35" s="124"/>
      <c r="C35" s="124"/>
      <c r="D35" s="1" t="s">
        <v>134</v>
      </c>
      <c r="E35" s="1" t="s">
        <v>135</v>
      </c>
      <c r="F35" s="63">
        <v>2100</v>
      </c>
      <c r="G35" s="1">
        <v>140</v>
      </c>
      <c r="H35" s="63">
        <v>294000</v>
      </c>
    </row>
    <row r="36" spans="2:8">
      <c r="B36" s="124"/>
      <c r="C36" s="125"/>
      <c r="D36" s="1" t="s">
        <v>138</v>
      </c>
      <c r="E36" s="1" t="s">
        <v>139</v>
      </c>
      <c r="F36" s="63">
        <v>2000</v>
      </c>
      <c r="G36" s="1">
        <v>70</v>
      </c>
      <c r="H36" s="63">
        <v>140000</v>
      </c>
    </row>
    <row r="37" spans="2:8">
      <c r="B37" s="124"/>
      <c r="C37" s="123" t="s">
        <v>187</v>
      </c>
      <c r="D37" s="1" t="s">
        <v>136</v>
      </c>
      <c r="E37" s="1" t="s">
        <v>137</v>
      </c>
      <c r="F37" s="63">
        <v>1400</v>
      </c>
      <c r="G37" s="1">
        <v>120</v>
      </c>
      <c r="H37" s="63">
        <v>168000</v>
      </c>
    </row>
    <row r="38" spans="2:8">
      <c r="B38" s="124"/>
      <c r="C38" s="124"/>
      <c r="D38" s="1" t="s">
        <v>130</v>
      </c>
      <c r="E38" s="1" t="s">
        <v>131</v>
      </c>
      <c r="F38" s="63">
        <v>2500</v>
      </c>
      <c r="G38" s="1">
        <v>180</v>
      </c>
      <c r="H38" s="63">
        <v>450000</v>
      </c>
    </row>
    <row r="39" spans="2:8">
      <c r="B39" s="124"/>
      <c r="C39" s="124"/>
      <c r="D39" s="1" t="s">
        <v>134</v>
      </c>
      <c r="E39" s="1" t="s">
        <v>135</v>
      </c>
      <c r="F39" s="63">
        <v>2100</v>
      </c>
      <c r="G39" s="1">
        <v>200</v>
      </c>
      <c r="H39" s="63">
        <v>420000</v>
      </c>
    </row>
    <row r="40" spans="2:8">
      <c r="B40" s="124"/>
      <c r="C40" s="124"/>
      <c r="D40" s="1" t="s">
        <v>132</v>
      </c>
      <c r="E40" s="1" t="s">
        <v>133</v>
      </c>
      <c r="F40" s="63">
        <v>1750</v>
      </c>
      <c r="G40" s="1">
        <v>150</v>
      </c>
      <c r="H40" s="63">
        <v>262500</v>
      </c>
    </row>
    <row r="41" spans="2:8">
      <c r="B41" s="125"/>
      <c r="C41" s="125"/>
      <c r="D41" s="1" t="s">
        <v>138</v>
      </c>
      <c r="E41" s="1" t="s">
        <v>139</v>
      </c>
      <c r="F41" s="63">
        <v>2000</v>
      </c>
      <c r="G41" s="1">
        <v>110</v>
      </c>
      <c r="H41" s="63">
        <v>220000</v>
      </c>
    </row>
    <row r="42" spans="2:8">
      <c r="B42" s="123" t="s">
        <v>192</v>
      </c>
      <c r="C42" s="123" t="s">
        <v>39</v>
      </c>
      <c r="D42" s="1" t="s">
        <v>136</v>
      </c>
      <c r="E42" s="1" t="s">
        <v>137</v>
      </c>
      <c r="F42" s="63">
        <v>1400</v>
      </c>
      <c r="G42" s="1">
        <v>200</v>
      </c>
      <c r="H42" s="63">
        <v>280000</v>
      </c>
    </row>
    <row r="43" spans="2:8">
      <c r="B43" s="124"/>
      <c r="C43" s="124"/>
      <c r="D43" s="1" t="s">
        <v>138</v>
      </c>
      <c r="E43" s="1" t="s">
        <v>139</v>
      </c>
      <c r="F43" s="63">
        <v>2000</v>
      </c>
      <c r="G43" s="1">
        <v>180</v>
      </c>
      <c r="H43" s="63">
        <v>360000</v>
      </c>
    </row>
    <row r="44" spans="2:8">
      <c r="B44" s="124"/>
      <c r="C44" s="125"/>
      <c r="D44" s="1" t="s">
        <v>130</v>
      </c>
      <c r="E44" s="1" t="s">
        <v>131</v>
      </c>
      <c r="F44" s="63">
        <v>2500</v>
      </c>
      <c r="G44" s="1">
        <v>220</v>
      </c>
      <c r="H44" s="63">
        <v>550000</v>
      </c>
    </row>
    <row r="45" spans="2:8">
      <c r="B45" s="124"/>
      <c r="C45" s="123" t="s">
        <v>58</v>
      </c>
      <c r="D45" s="1" t="s">
        <v>132</v>
      </c>
      <c r="E45" s="1" t="s">
        <v>133</v>
      </c>
      <c r="F45" s="63">
        <v>1750</v>
      </c>
      <c r="G45" s="1">
        <v>130</v>
      </c>
      <c r="H45" s="63">
        <v>227500</v>
      </c>
    </row>
    <row r="46" spans="2:8">
      <c r="B46" s="124"/>
      <c r="C46" s="124"/>
      <c r="D46" s="1" t="s">
        <v>134</v>
      </c>
      <c r="E46" s="1" t="s">
        <v>135</v>
      </c>
      <c r="F46" s="63">
        <v>2100</v>
      </c>
      <c r="G46" s="1">
        <v>170</v>
      </c>
      <c r="H46" s="63">
        <v>357000</v>
      </c>
    </row>
    <row r="47" spans="2:8">
      <c r="B47" s="125"/>
      <c r="C47" s="125"/>
      <c r="D47" s="1" t="s">
        <v>138</v>
      </c>
      <c r="E47" s="1" t="s">
        <v>139</v>
      </c>
      <c r="F47" s="63">
        <v>2000</v>
      </c>
      <c r="G47" s="1">
        <v>90</v>
      </c>
      <c r="H47" s="63">
        <v>180000</v>
      </c>
    </row>
  </sheetData>
  <autoFilter ref="B5:H24" xr:uid="{8D76D926-5062-4832-890E-5175DC710A3E}"/>
  <mergeCells count="14">
    <mergeCell ref="B19:B24"/>
    <mergeCell ref="B6:B18"/>
    <mergeCell ref="C22:C24"/>
    <mergeCell ref="C19:C21"/>
    <mergeCell ref="C6:C8"/>
    <mergeCell ref="C14:C18"/>
    <mergeCell ref="C9:C13"/>
    <mergeCell ref="B29:B41"/>
    <mergeCell ref="C29:C31"/>
    <mergeCell ref="C32:C36"/>
    <mergeCell ref="C37:C41"/>
    <mergeCell ref="B42:B47"/>
    <mergeCell ref="C42:C44"/>
    <mergeCell ref="C45:C4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F634-0649-44BA-BE76-14D54BDA34DF}">
  <dimension ref="A1:O89"/>
  <sheetViews>
    <sheetView topLeftCell="A36" workbookViewId="0"/>
  </sheetViews>
  <sheetFormatPr defaultRowHeight="17.399999999999999"/>
  <cols>
    <col min="2" max="2" width="8.796875" customWidth="1"/>
    <col min="3" max="4" width="8.59765625" bestFit="1" customWidth="1"/>
    <col min="5" max="7" width="12.3984375" bestFit="1" customWidth="1"/>
    <col min="8" max="8" width="11.69921875" bestFit="1" customWidth="1"/>
    <col min="9" max="9" width="9.19921875" bestFit="1" customWidth="1"/>
    <col min="10" max="10" width="11.19921875" bestFit="1" customWidth="1"/>
    <col min="11" max="11" width="13.59765625" bestFit="1" customWidth="1"/>
    <col min="12" max="17" width="11.19921875" bestFit="1" customWidth="1"/>
    <col min="18" max="21" width="6.796875" bestFit="1" customWidth="1"/>
  </cols>
  <sheetData>
    <row r="1" spans="1:10" s="2" customFormat="1" ht="21">
      <c r="A1" s="2" t="s">
        <v>229</v>
      </c>
    </row>
    <row r="3" spans="1:10">
      <c r="B3" t="s">
        <v>230</v>
      </c>
    </row>
    <row r="5" spans="1:10">
      <c r="B5" s="64" t="s">
        <v>190</v>
      </c>
      <c r="C5" s="64" t="s">
        <v>185</v>
      </c>
      <c r="D5" s="64" t="s">
        <v>127</v>
      </c>
      <c r="E5" s="64" t="s">
        <v>128</v>
      </c>
      <c r="F5" s="64" t="s">
        <v>129</v>
      </c>
      <c r="G5" s="64" t="s">
        <v>143</v>
      </c>
      <c r="H5" s="64" t="s">
        <v>186</v>
      </c>
    </row>
    <row r="6" spans="1:10">
      <c r="B6" s="6" t="s">
        <v>191</v>
      </c>
      <c r="C6" s="6" t="s">
        <v>38</v>
      </c>
      <c r="D6" s="1" t="s">
        <v>130</v>
      </c>
      <c r="E6" s="1" t="s">
        <v>131</v>
      </c>
      <c r="F6" s="63">
        <v>2500</v>
      </c>
      <c r="G6" s="1">
        <v>150</v>
      </c>
      <c r="H6" s="63">
        <v>375000</v>
      </c>
      <c r="J6" t="s">
        <v>245</v>
      </c>
    </row>
    <row r="7" spans="1:10">
      <c r="B7" s="6" t="s">
        <v>227</v>
      </c>
      <c r="C7" s="6" t="s">
        <v>38</v>
      </c>
      <c r="D7" s="1" t="s">
        <v>132</v>
      </c>
      <c r="E7" s="1" t="s">
        <v>133</v>
      </c>
      <c r="F7" s="63">
        <v>1750</v>
      </c>
      <c r="G7" s="1">
        <v>100</v>
      </c>
      <c r="H7" s="63">
        <v>175000</v>
      </c>
    </row>
    <row r="8" spans="1:10">
      <c r="B8" s="6" t="s">
        <v>227</v>
      </c>
      <c r="C8" s="6" t="s">
        <v>38</v>
      </c>
      <c r="D8" s="1" t="s">
        <v>134</v>
      </c>
      <c r="E8" s="1" t="s">
        <v>135</v>
      </c>
      <c r="F8" s="63">
        <v>2100</v>
      </c>
      <c r="G8" s="1">
        <v>120</v>
      </c>
      <c r="H8" s="63">
        <v>252000</v>
      </c>
      <c r="J8" t="s">
        <v>243</v>
      </c>
    </row>
    <row r="9" spans="1:10">
      <c r="B9" s="6" t="s">
        <v>227</v>
      </c>
      <c r="C9" s="6" t="s">
        <v>40</v>
      </c>
      <c r="D9" s="1" t="s">
        <v>136</v>
      </c>
      <c r="E9" s="1" t="s">
        <v>137</v>
      </c>
      <c r="F9" s="63">
        <v>1400</v>
      </c>
      <c r="G9" s="1">
        <v>150</v>
      </c>
      <c r="H9" s="63">
        <v>210000</v>
      </c>
      <c r="J9" t="s">
        <v>244</v>
      </c>
    </row>
    <row r="10" spans="1:10">
      <c r="B10" s="6" t="s">
        <v>227</v>
      </c>
      <c r="C10" s="6" t="s">
        <v>40</v>
      </c>
      <c r="D10" s="1" t="s">
        <v>130</v>
      </c>
      <c r="E10" s="1" t="s">
        <v>131</v>
      </c>
      <c r="F10" s="63">
        <v>2500</v>
      </c>
      <c r="G10" s="1">
        <v>110</v>
      </c>
      <c r="H10" s="63">
        <v>275000</v>
      </c>
      <c r="J10" s="34" t="s">
        <v>247</v>
      </c>
    </row>
    <row r="11" spans="1:10">
      <c r="B11" s="6" t="s">
        <v>227</v>
      </c>
      <c r="C11" s="6" t="s">
        <v>40</v>
      </c>
      <c r="D11" s="1" t="s">
        <v>132</v>
      </c>
      <c r="E11" s="1" t="s">
        <v>133</v>
      </c>
      <c r="F11" s="63">
        <v>1750</v>
      </c>
      <c r="G11" s="1">
        <v>160</v>
      </c>
      <c r="H11" s="63">
        <v>280000</v>
      </c>
      <c r="J11" s="34" t="s">
        <v>246</v>
      </c>
    </row>
    <row r="12" spans="1:10">
      <c r="B12" s="6" t="s">
        <v>227</v>
      </c>
      <c r="C12" s="6" t="s">
        <v>40</v>
      </c>
      <c r="D12" s="1" t="s">
        <v>134</v>
      </c>
      <c r="E12" s="1" t="s">
        <v>135</v>
      </c>
      <c r="F12" s="63">
        <v>2100</v>
      </c>
      <c r="G12" s="1">
        <v>140</v>
      </c>
      <c r="H12" s="63">
        <v>294000</v>
      </c>
    </row>
    <row r="13" spans="1:10">
      <c r="B13" s="6" t="s">
        <v>227</v>
      </c>
      <c r="C13" s="6" t="s">
        <v>40</v>
      </c>
      <c r="D13" s="1" t="s">
        <v>138</v>
      </c>
      <c r="E13" s="1" t="s">
        <v>139</v>
      </c>
      <c r="F13" s="63">
        <v>2000</v>
      </c>
      <c r="G13" s="1">
        <v>70</v>
      </c>
      <c r="H13" s="63">
        <v>140000</v>
      </c>
    </row>
    <row r="14" spans="1:10">
      <c r="B14" s="6" t="s">
        <v>227</v>
      </c>
      <c r="C14" s="6" t="s">
        <v>187</v>
      </c>
      <c r="D14" s="1" t="s">
        <v>136</v>
      </c>
      <c r="E14" s="1" t="s">
        <v>137</v>
      </c>
      <c r="F14" s="63">
        <v>1400</v>
      </c>
      <c r="G14" s="1">
        <v>120</v>
      </c>
      <c r="H14" s="63">
        <v>168000</v>
      </c>
    </row>
    <row r="15" spans="1:10">
      <c r="B15" s="6" t="s">
        <v>227</v>
      </c>
      <c r="C15" s="6" t="s">
        <v>187</v>
      </c>
      <c r="D15" s="1" t="s">
        <v>130</v>
      </c>
      <c r="E15" s="1" t="s">
        <v>131</v>
      </c>
      <c r="F15" s="63">
        <v>2500</v>
      </c>
      <c r="G15" s="1">
        <v>180</v>
      </c>
      <c r="H15" s="63">
        <v>450000</v>
      </c>
    </row>
    <row r="16" spans="1:10">
      <c r="B16" s="6" t="s">
        <v>227</v>
      </c>
      <c r="C16" s="6" t="s">
        <v>187</v>
      </c>
      <c r="D16" s="1" t="s">
        <v>134</v>
      </c>
      <c r="E16" s="1" t="s">
        <v>135</v>
      </c>
      <c r="F16" s="63">
        <v>2100</v>
      </c>
      <c r="G16" s="1">
        <v>200</v>
      </c>
      <c r="H16" s="63">
        <v>420000</v>
      </c>
    </row>
    <row r="17" spans="2:15">
      <c r="B17" s="6" t="s">
        <v>227</v>
      </c>
      <c r="C17" s="6" t="s">
        <v>187</v>
      </c>
      <c r="D17" s="1" t="s">
        <v>132</v>
      </c>
      <c r="E17" s="1" t="s">
        <v>133</v>
      </c>
      <c r="F17" s="63">
        <v>1750</v>
      </c>
      <c r="G17" s="1">
        <v>150</v>
      </c>
      <c r="H17" s="63">
        <v>262500</v>
      </c>
    </row>
    <row r="18" spans="2:15">
      <c r="B18" s="6" t="s">
        <v>227</v>
      </c>
      <c r="C18" s="6" t="s">
        <v>187</v>
      </c>
      <c r="D18" s="1" t="s">
        <v>138</v>
      </c>
      <c r="E18" s="1" t="s">
        <v>139</v>
      </c>
      <c r="F18" s="63">
        <v>2000</v>
      </c>
      <c r="G18" s="1">
        <v>110</v>
      </c>
      <c r="H18" s="63">
        <v>220000</v>
      </c>
    </row>
    <row r="19" spans="2:15">
      <c r="B19" s="6" t="s">
        <v>192</v>
      </c>
      <c r="C19" s="6" t="s">
        <v>39</v>
      </c>
      <c r="D19" s="1" t="s">
        <v>136</v>
      </c>
      <c r="E19" s="1" t="s">
        <v>137</v>
      </c>
      <c r="F19" s="63">
        <v>1400</v>
      </c>
      <c r="G19" s="1">
        <v>200</v>
      </c>
      <c r="H19" s="63">
        <v>280000</v>
      </c>
    </row>
    <row r="20" spans="2:15">
      <c r="B20" s="6" t="s">
        <v>228</v>
      </c>
      <c r="C20" s="6" t="s">
        <v>39</v>
      </c>
      <c r="D20" s="1" t="s">
        <v>138</v>
      </c>
      <c r="E20" s="1" t="s">
        <v>139</v>
      </c>
      <c r="F20" s="63">
        <v>2000</v>
      </c>
      <c r="G20" s="1">
        <v>180</v>
      </c>
      <c r="H20" s="63">
        <v>360000</v>
      </c>
    </row>
    <row r="21" spans="2:15">
      <c r="B21" s="6" t="s">
        <v>228</v>
      </c>
      <c r="C21" s="6" t="s">
        <v>39</v>
      </c>
      <c r="D21" s="1" t="s">
        <v>130</v>
      </c>
      <c r="E21" s="1" t="s">
        <v>131</v>
      </c>
      <c r="F21" s="63">
        <v>2500</v>
      </c>
      <c r="G21" s="1">
        <v>220</v>
      </c>
      <c r="H21" s="63">
        <v>550000</v>
      </c>
    </row>
    <row r="22" spans="2:15">
      <c r="B22" s="6" t="s">
        <v>228</v>
      </c>
      <c r="C22" s="6" t="s">
        <v>58</v>
      </c>
      <c r="D22" s="1" t="s">
        <v>132</v>
      </c>
      <c r="E22" s="1" t="s">
        <v>133</v>
      </c>
      <c r="F22" s="63">
        <v>1750</v>
      </c>
      <c r="G22" s="1">
        <v>130</v>
      </c>
      <c r="H22" s="63">
        <v>227500</v>
      </c>
    </row>
    <row r="23" spans="2:15">
      <c r="B23" s="6" t="s">
        <v>228</v>
      </c>
      <c r="C23" s="6" t="s">
        <v>58</v>
      </c>
      <c r="D23" s="1" t="s">
        <v>134</v>
      </c>
      <c r="E23" s="1" t="s">
        <v>135</v>
      </c>
      <c r="F23" s="63">
        <v>2100</v>
      </c>
      <c r="G23" s="1">
        <v>170</v>
      </c>
      <c r="H23" s="63">
        <v>357000</v>
      </c>
    </row>
    <row r="24" spans="2:15">
      <c r="B24" s="6" t="s">
        <v>228</v>
      </c>
      <c r="C24" s="6" t="s">
        <v>58</v>
      </c>
      <c r="D24" s="1" t="s">
        <v>138</v>
      </c>
      <c r="E24" s="1" t="s">
        <v>139</v>
      </c>
      <c r="F24" s="63">
        <v>2000</v>
      </c>
      <c r="G24" s="1">
        <v>90</v>
      </c>
      <c r="H24" s="63">
        <v>180000</v>
      </c>
    </row>
    <row r="27" spans="2:15" ht="21">
      <c r="B27" s="2" t="s">
        <v>279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9" spans="2:15">
      <c r="B29" t="s">
        <v>230</v>
      </c>
    </row>
    <row r="30" spans="2:15">
      <c r="B30" s="64" t="s">
        <v>190</v>
      </c>
      <c r="C30" s="64" t="s">
        <v>248</v>
      </c>
      <c r="D30" s="64" t="s">
        <v>249</v>
      </c>
      <c r="E30" s="64" t="s">
        <v>250</v>
      </c>
      <c r="F30" s="64" t="s">
        <v>145</v>
      </c>
      <c r="G30" s="64" t="s">
        <v>251</v>
      </c>
      <c r="H30" s="64" t="s">
        <v>252</v>
      </c>
      <c r="I30" s="64" t="s">
        <v>253</v>
      </c>
    </row>
    <row r="31" spans="2:15">
      <c r="B31" s="6" t="s">
        <v>191</v>
      </c>
      <c r="C31" s="6" t="s">
        <v>254</v>
      </c>
      <c r="D31" s="6" t="s">
        <v>255</v>
      </c>
      <c r="E31" s="79" t="s">
        <v>256</v>
      </c>
      <c r="F31" s="79" t="s">
        <v>257</v>
      </c>
      <c r="G31" s="80">
        <v>2500</v>
      </c>
      <c r="H31" s="79">
        <v>80</v>
      </c>
      <c r="I31" s="80">
        <v>200000</v>
      </c>
    </row>
    <row r="32" spans="2:15">
      <c r="B32" s="6" t="s">
        <v>191</v>
      </c>
      <c r="C32" s="6" t="s">
        <v>254</v>
      </c>
      <c r="D32" s="6" t="s">
        <v>258</v>
      </c>
      <c r="E32" s="79" t="s">
        <v>256</v>
      </c>
      <c r="F32" s="79" t="s">
        <v>257</v>
      </c>
      <c r="G32" s="80">
        <v>2500</v>
      </c>
      <c r="H32" s="79">
        <v>70</v>
      </c>
      <c r="I32" s="80">
        <v>175000</v>
      </c>
    </row>
    <row r="33" spans="2:9">
      <c r="B33" s="6" t="s">
        <v>191</v>
      </c>
      <c r="C33" s="6" t="s">
        <v>254</v>
      </c>
      <c r="D33" s="6" t="s">
        <v>255</v>
      </c>
      <c r="E33" s="79" t="s">
        <v>259</v>
      </c>
      <c r="F33" s="79" t="s">
        <v>260</v>
      </c>
      <c r="G33" s="80">
        <v>1750</v>
      </c>
      <c r="H33" s="79">
        <v>60</v>
      </c>
      <c r="I33" s="80">
        <v>105000</v>
      </c>
    </row>
    <row r="34" spans="2:9">
      <c r="B34" s="6" t="s">
        <v>191</v>
      </c>
      <c r="C34" s="6" t="s">
        <v>254</v>
      </c>
      <c r="D34" s="6" t="s">
        <v>258</v>
      </c>
      <c r="E34" s="79" t="s">
        <v>259</v>
      </c>
      <c r="F34" s="79" t="s">
        <v>260</v>
      </c>
      <c r="G34" s="80">
        <v>1750</v>
      </c>
      <c r="H34" s="79">
        <v>40</v>
      </c>
      <c r="I34" s="80">
        <v>70000</v>
      </c>
    </row>
    <row r="35" spans="2:9">
      <c r="B35" s="6" t="s">
        <v>191</v>
      </c>
      <c r="C35" s="6" t="s">
        <v>254</v>
      </c>
      <c r="D35" s="6" t="s">
        <v>255</v>
      </c>
      <c r="E35" s="79" t="s">
        <v>261</v>
      </c>
      <c r="F35" s="79" t="s">
        <v>262</v>
      </c>
      <c r="G35" s="80">
        <v>2100</v>
      </c>
      <c r="H35" s="79">
        <v>70</v>
      </c>
      <c r="I35" s="80">
        <v>147000</v>
      </c>
    </row>
    <row r="36" spans="2:9">
      <c r="B36" s="6" t="s">
        <v>191</v>
      </c>
      <c r="C36" s="6" t="s">
        <v>254</v>
      </c>
      <c r="D36" s="6" t="s">
        <v>258</v>
      </c>
      <c r="E36" s="79" t="s">
        <v>261</v>
      </c>
      <c r="F36" s="79" t="s">
        <v>262</v>
      </c>
      <c r="G36" s="80">
        <v>2100</v>
      </c>
      <c r="H36" s="79">
        <v>50</v>
      </c>
      <c r="I36" s="80">
        <v>105000</v>
      </c>
    </row>
    <row r="37" spans="2:9">
      <c r="B37" s="6" t="s">
        <v>191</v>
      </c>
      <c r="C37" s="6" t="s">
        <v>263</v>
      </c>
      <c r="D37" s="6" t="s">
        <v>264</v>
      </c>
      <c r="E37" s="79" t="s">
        <v>265</v>
      </c>
      <c r="F37" s="79" t="s">
        <v>266</v>
      </c>
      <c r="G37" s="80">
        <v>1400</v>
      </c>
      <c r="H37" s="79">
        <v>80</v>
      </c>
      <c r="I37" s="80">
        <v>112000</v>
      </c>
    </row>
    <row r="38" spans="2:9">
      <c r="B38" s="6" t="s">
        <v>191</v>
      </c>
      <c r="C38" s="6" t="s">
        <v>263</v>
      </c>
      <c r="D38" s="6" t="s">
        <v>267</v>
      </c>
      <c r="E38" s="79" t="s">
        <v>265</v>
      </c>
      <c r="F38" s="79" t="s">
        <v>266</v>
      </c>
      <c r="G38" s="80">
        <v>1400</v>
      </c>
      <c r="H38" s="79">
        <v>70</v>
      </c>
      <c r="I38" s="80">
        <v>98000</v>
      </c>
    </row>
    <row r="39" spans="2:9">
      <c r="B39" s="6" t="s">
        <v>191</v>
      </c>
      <c r="C39" s="6" t="s">
        <v>263</v>
      </c>
      <c r="D39" s="6" t="s">
        <v>264</v>
      </c>
      <c r="E39" s="79" t="s">
        <v>256</v>
      </c>
      <c r="F39" s="79" t="s">
        <v>257</v>
      </c>
      <c r="G39" s="80">
        <v>2500</v>
      </c>
      <c r="H39" s="79">
        <v>60</v>
      </c>
      <c r="I39" s="80">
        <v>150000</v>
      </c>
    </row>
    <row r="40" spans="2:9">
      <c r="B40" s="6" t="s">
        <v>191</v>
      </c>
      <c r="C40" s="6" t="s">
        <v>263</v>
      </c>
      <c r="D40" s="6" t="s">
        <v>267</v>
      </c>
      <c r="E40" s="79" t="s">
        <v>256</v>
      </c>
      <c r="F40" s="79" t="s">
        <v>257</v>
      </c>
      <c r="G40" s="80">
        <v>2500</v>
      </c>
      <c r="H40" s="79">
        <v>50</v>
      </c>
      <c r="I40" s="80">
        <v>125000</v>
      </c>
    </row>
    <row r="41" spans="2:9">
      <c r="B41" s="6" t="s">
        <v>191</v>
      </c>
      <c r="C41" s="6" t="s">
        <v>268</v>
      </c>
      <c r="D41" s="6" t="s">
        <v>269</v>
      </c>
      <c r="E41" s="79" t="s">
        <v>270</v>
      </c>
      <c r="F41" s="79" t="s">
        <v>271</v>
      </c>
      <c r="G41" s="80">
        <v>2000</v>
      </c>
      <c r="H41" s="79">
        <v>60</v>
      </c>
      <c r="I41" s="80">
        <v>120000</v>
      </c>
    </row>
    <row r="42" spans="2:9">
      <c r="B42" s="6" t="s">
        <v>191</v>
      </c>
      <c r="C42" s="6" t="s">
        <v>268</v>
      </c>
      <c r="D42" s="6" t="s">
        <v>272</v>
      </c>
      <c r="E42" s="79" t="s">
        <v>270</v>
      </c>
      <c r="F42" s="79" t="s">
        <v>271</v>
      </c>
      <c r="G42" s="80">
        <v>2000</v>
      </c>
      <c r="H42" s="79">
        <v>50</v>
      </c>
      <c r="I42" s="80">
        <v>100000</v>
      </c>
    </row>
    <row r="43" spans="2:9">
      <c r="B43" s="6" t="s">
        <v>192</v>
      </c>
      <c r="C43" s="6" t="s">
        <v>273</v>
      </c>
      <c r="D43" s="6" t="s">
        <v>274</v>
      </c>
      <c r="E43" s="79" t="s">
        <v>265</v>
      </c>
      <c r="F43" s="79" t="s">
        <v>266</v>
      </c>
      <c r="G43" s="80">
        <v>1400</v>
      </c>
      <c r="H43" s="79">
        <v>100</v>
      </c>
      <c r="I43" s="80">
        <v>140000</v>
      </c>
    </row>
    <row r="44" spans="2:9">
      <c r="B44" s="6" t="s">
        <v>192</v>
      </c>
      <c r="C44" s="6" t="s">
        <v>273</v>
      </c>
      <c r="D44" s="6" t="s">
        <v>275</v>
      </c>
      <c r="E44" s="79" t="s">
        <v>265</v>
      </c>
      <c r="F44" s="79" t="s">
        <v>266</v>
      </c>
      <c r="G44" s="80">
        <v>1400</v>
      </c>
      <c r="H44" s="79">
        <v>100</v>
      </c>
      <c r="I44" s="80">
        <v>140000</v>
      </c>
    </row>
    <row r="45" spans="2:9">
      <c r="B45" s="6" t="s">
        <v>192</v>
      </c>
      <c r="C45" s="6" t="s">
        <v>276</v>
      </c>
      <c r="D45" s="6" t="s">
        <v>277</v>
      </c>
      <c r="E45" s="79" t="s">
        <v>261</v>
      </c>
      <c r="F45" s="79" t="s">
        <v>262</v>
      </c>
      <c r="G45" s="80">
        <v>2100</v>
      </c>
      <c r="H45" s="79">
        <v>90</v>
      </c>
      <c r="I45" s="80">
        <v>189000</v>
      </c>
    </row>
    <row r="46" spans="2:9">
      <c r="B46" s="6" t="s">
        <v>192</v>
      </c>
      <c r="C46" s="6" t="s">
        <v>276</v>
      </c>
      <c r="D46" s="6" t="s">
        <v>278</v>
      </c>
      <c r="E46" s="79" t="s">
        <v>261</v>
      </c>
      <c r="F46" s="79" t="s">
        <v>262</v>
      </c>
      <c r="G46" s="80">
        <v>2100</v>
      </c>
      <c r="H46" s="79">
        <v>80</v>
      </c>
      <c r="I46" s="80">
        <v>168000</v>
      </c>
    </row>
    <row r="49" spans="2:15" ht="21">
      <c r="B49" s="2" t="s">
        <v>280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1" spans="2:15" ht="34.799999999999997">
      <c r="B51" s="81" t="s">
        <v>231</v>
      </c>
      <c r="C51" s="81" t="s">
        <v>185</v>
      </c>
      <c r="D51" s="81" t="s">
        <v>232</v>
      </c>
      <c r="E51" s="81" t="s">
        <v>142</v>
      </c>
      <c r="F51" s="81" t="s">
        <v>127</v>
      </c>
      <c r="G51" s="64" t="s">
        <v>128</v>
      </c>
      <c r="H51" s="81" t="s">
        <v>129</v>
      </c>
      <c r="I51" s="81" t="s">
        <v>143</v>
      </c>
      <c r="J51" s="81" t="s">
        <v>186</v>
      </c>
    </row>
    <row r="52" spans="2:15">
      <c r="B52" s="17" t="s">
        <v>227</v>
      </c>
      <c r="C52" s="17" t="s">
        <v>38</v>
      </c>
      <c r="D52" s="17" t="s">
        <v>233</v>
      </c>
      <c r="E52" s="56">
        <v>45658</v>
      </c>
      <c r="F52" s="17" t="s">
        <v>130</v>
      </c>
      <c r="G52" s="1" t="s">
        <v>131</v>
      </c>
      <c r="H52" s="18">
        <v>2500</v>
      </c>
      <c r="I52" s="17">
        <v>80</v>
      </c>
      <c r="J52" s="18">
        <v>200000</v>
      </c>
    </row>
    <row r="53" spans="2:15">
      <c r="B53" s="17" t="s">
        <v>227</v>
      </c>
      <c r="C53" s="17" t="s">
        <v>38</v>
      </c>
      <c r="D53" s="17" t="s">
        <v>234</v>
      </c>
      <c r="E53" s="56">
        <v>45659</v>
      </c>
      <c r="F53" s="17" t="s">
        <v>130</v>
      </c>
      <c r="G53" s="1" t="s">
        <v>131</v>
      </c>
      <c r="H53" s="18">
        <v>2500</v>
      </c>
      <c r="I53" s="17">
        <v>70</v>
      </c>
      <c r="J53" s="18">
        <v>175000</v>
      </c>
    </row>
    <row r="54" spans="2:15">
      <c r="B54" s="17" t="s">
        <v>227</v>
      </c>
      <c r="C54" s="17" t="s">
        <v>38</v>
      </c>
      <c r="D54" s="17" t="s">
        <v>233</v>
      </c>
      <c r="E54" s="56">
        <v>45660</v>
      </c>
      <c r="F54" s="17" t="s">
        <v>132</v>
      </c>
      <c r="G54" s="1" t="s">
        <v>133</v>
      </c>
      <c r="H54" s="18">
        <v>1750</v>
      </c>
      <c r="I54" s="17">
        <v>60</v>
      </c>
      <c r="J54" s="18">
        <v>105000</v>
      </c>
    </row>
    <row r="55" spans="2:15">
      <c r="B55" s="17" t="s">
        <v>227</v>
      </c>
      <c r="C55" s="17" t="s">
        <v>38</v>
      </c>
      <c r="D55" s="17" t="s">
        <v>234</v>
      </c>
      <c r="E55" s="56">
        <v>45661</v>
      </c>
      <c r="F55" s="17" t="s">
        <v>132</v>
      </c>
      <c r="G55" s="1" t="s">
        <v>133</v>
      </c>
      <c r="H55" s="18">
        <v>1750</v>
      </c>
      <c r="I55" s="17">
        <v>40</v>
      </c>
      <c r="J55" s="18">
        <v>70000</v>
      </c>
    </row>
    <row r="56" spans="2:15">
      <c r="B56" s="17" t="s">
        <v>227</v>
      </c>
      <c r="C56" s="17" t="s">
        <v>38</v>
      </c>
      <c r="D56" s="17" t="s">
        <v>233</v>
      </c>
      <c r="E56" s="56">
        <v>45662</v>
      </c>
      <c r="F56" s="17" t="s">
        <v>134</v>
      </c>
      <c r="G56" s="1" t="s">
        <v>135</v>
      </c>
      <c r="H56" s="18">
        <v>2100</v>
      </c>
      <c r="I56" s="17">
        <v>70</v>
      </c>
      <c r="J56" s="18">
        <v>147000</v>
      </c>
    </row>
    <row r="57" spans="2:15">
      <c r="B57" s="17" t="s">
        <v>227</v>
      </c>
      <c r="C57" s="17" t="s">
        <v>38</v>
      </c>
      <c r="D57" s="17" t="s">
        <v>234</v>
      </c>
      <c r="E57" s="56">
        <v>45663</v>
      </c>
      <c r="F57" s="17" t="s">
        <v>134</v>
      </c>
      <c r="G57" s="1" t="s">
        <v>135</v>
      </c>
      <c r="H57" s="18">
        <v>2100</v>
      </c>
      <c r="I57" s="17">
        <v>50</v>
      </c>
      <c r="J57" s="18">
        <v>105000</v>
      </c>
    </row>
    <row r="58" spans="2:15">
      <c r="B58" s="17" t="s">
        <v>227</v>
      </c>
      <c r="C58" s="17" t="s">
        <v>40</v>
      </c>
      <c r="D58" s="17" t="s">
        <v>235</v>
      </c>
      <c r="E58" s="56">
        <v>45664</v>
      </c>
      <c r="F58" s="17" t="s">
        <v>136</v>
      </c>
      <c r="G58" s="1" t="s">
        <v>137</v>
      </c>
      <c r="H58" s="18">
        <v>1400</v>
      </c>
      <c r="I58" s="17">
        <v>80</v>
      </c>
      <c r="J58" s="18">
        <v>112000</v>
      </c>
    </row>
    <row r="59" spans="2:15">
      <c r="B59" s="17" t="s">
        <v>227</v>
      </c>
      <c r="C59" s="17" t="s">
        <v>40</v>
      </c>
      <c r="D59" s="17" t="s">
        <v>236</v>
      </c>
      <c r="E59" s="56">
        <v>45665</v>
      </c>
      <c r="F59" s="17" t="s">
        <v>136</v>
      </c>
      <c r="G59" s="1" t="s">
        <v>137</v>
      </c>
      <c r="H59" s="18">
        <v>1400</v>
      </c>
      <c r="I59" s="17">
        <v>70</v>
      </c>
      <c r="J59" s="18">
        <v>98000</v>
      </c>
    </row>
    <row r="60" spans="2:15">
      <c r="B60" s="17" t="s">
        <v>227</v>
      </c>
      <c r="C60" s="17" t="s">
        <v>40</v>
      </c>
      <c r="D60" s="17" t="s">
        <v>235</v>
      </c>
      <c r="E60" s="56">
        <v>45666</v>
      </c>
      <c r="F60" s="17" t="s">
        <v>130</v>
      </c>
      <c r="G60" s="1" t="s">
        <v>131</v>
      </c>
      <c r="H60" s="18">
        <v>2500</v>
      </c>
      <c r="I60" s="17">
        <v>60</v>
      </c>
      <c r="J60" s="18">
        <v>150000</v>
      </c>
    </row>
    <row r="61" spans="2:15">
      <c r="B61" s="17" t="s">
        <v>227</v>
      </c>
      <c r="C61" s="17" t="s">
        <v>40</v>
      </c>
      <c r="D61" s="17" t="s">
        <v>236</v>
      </c>
      <c r="E61" s="56">
        <v>45667</v>
      </c>
      <c r="F61" s="17" t="s">
        <v>130</v>
      </c>
      <c r="G61" s="1" t="s">
        <v>131</v>
      </c>
      <c r="H61" s="18">
        <v>2500</v>
      </c>
      <c r="I61" s="17">
        <v>50</v>
      </c>
      <c r="J61" s="18">
        <v>125000</v>
      </c>
    </row>
    <row r="62" spans="2:15">
      <c r="B62" s="17" t="s">
        <v>227</v>
      </c>
      <c r="C62" s="17" t="s">
        <v>187</v>
      </c>
      <c r="D62" s="17" t="s">
        <v>237</v>
      </c>
      <c r="E62" s="56">
        <v>45668</v>
      </c>
      <c r="F62" s="17" t="s">
        <v>138</v>
      </c>
      <c r="G62" s="1" t="s">
        <v>139</v>
      </c>
      <c r="H62" s="18">
        <v>2000</v>
      </c>
      <c r="I62" s="17">
        <v>60</v>
      </c>
      <c r="J62" s="18">
        <v>120000</v>
      </c>
    </row>
    <row r="63" spans="2:15">
      <c r="B63" s="17" t="s">
        <v>227</v>
      </c>
      <c r="C63" s="17" t="s">
        <v>187</v>
      </c>
      <c r="D63" s="17" t="s">
        <v>238</v>
      </c>
      <c r="E63" s="56">
        <v>45669</v>
      </c>
      <c r="F63" s="17" t="s">
        <v>138</v>
      </c>
      <c r="G63" s="1" t="s">
        <v>139</v>
      </c>
      <c r="H63" s="18">
        <v>2000</v>
      </c>
      <c r="I63" s="17">
        <v>50</v>
      </c>
      <c r="J63" s="18">
        <v>100000</v>
      </c>
    </row>
    <row r="64" spans="2:15">
      <c r="B64" s="17" t="s">
        <v>228</v>
      </c>
      <c r="C64" s="17" t="s">
        <v>39</v>
      </c>
      <c r="D64" s="17" t="s">
        <v>239</v>
      </c>
      <c r="E64" s="56">
        <v>45670</v>
      </c>
      <c r="F64" s="17" t="s">
        <v>136</v>
      </c>
      <c r="G64" s="1" t="s">
        <v>137</v>
      </c>
      <c r="H64" s="18">
        <v>1400</v>
      </c>
      <c r="I64" s="17">
        <v>100</v>
      </c>
      <c r="J64" s="18">
        <v>140000</v>
      </c>
    </row>
    <row r="65" spans="2:15">
      <c r="B65" s="17" t="s">
        <v>228</v>
      </c>
      <c r="C65" s="17" t="s">
        <v>39</v>
      </c>
      <c r="D65" s="17" t="s">
        <v>240</v>
      </c>
      <c r="E65" s="56">
        <v>45671</v>
      </c>
      <c r="F65" s="17" t="s">
        <v>136</v>
      </c>
      <c r="G65" s="1" t="s">
        <v>137</v>
      </c>
      <c r="H65" s="18">
        <v>1400</v>
      </c>
      <c r="I65" s="17">
        <v>100</v>
      </c>
      <c r="J65" s="18">
        <v>140000</v>
      </c>
    </row>
    <row r="66" spans="2:15">
      <c r="B66" s="17" t="s">
        <v>228</v>
      </c>
      <c r="C66" s="17" t="s">
        <v>58</v>
      </c>
      <c r="D66" s="17" t="s">
        <v>241</v>
      </c>
      <c r="E66" s="56">
        <v>45672</v>
      </c>
      <c r="F66" s="17" t="s">
        <v>134</v>
      </c>
      <c r="G66" s="1" t="s">
        <v>135</v>
      </c>
      <c r="H66" s="18">
        <v>2100</v>
      </c>
      <c r="I66" s="17">
        <v>90</v>
      </c>
      <c r="J66" s="18">
        <v>189000</v>
      </c>
    </row>
    <row r="67" spans="2:15">
      <c r="B67" s="17" t="s">
        <v>228</v>
      </c>
      <c r="C67" s="17" t="s">
        <v>58</v>
      </c>
      <c r="D67" s="17" t="s">
        <v>242</v>
      </c>
      <c r="E67" s="56">
        <v>45673</v>
      </c>
      <c r="F67" s="17" t="s">
        <v>134</v>
      </c>
      <c r="G67" s="1" t="s">
        <v>135</v>
      </c>
      <c r="H67" s="18">
        <v>2100</v>
      </c>
      <c r="I67" s="17">
        <v>80</v>
      </c>
      <c r="J67" s="18">
        <v>168000</v>
      </c>
    </row>
    <row r="70" spans="2:15" ht="21">
      <c r="B70" s="2" t="s">
        <v>291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2" spans="2:15" ht="34.799999999999997">
      <c r="B72" s="81" t="s">
        <v>231</v>
      </c>
      <c r="C72" s="81" t="s">
        <v>185</v>
      </c>
      <c r="D72" s="81" t="s">
        <v>232</v>
      </c>
      <c r="E72" s="81" t="s">
        <v>142</v>
      </c>
      <c r="F72" s="81" t="s">
        <v>127</v>
      </c>
      <c r="G72" s="64" t="s">
        <v>128</v>
      </c>
      <c r="H72" s="81" t="s">
        <v>129</v>
      </c>
      <c r="I72" s="81" t="s">
        <v>143</v>
      </c>
      <c r="J72" s="81" t="s">
        <v>186</v>
      </c>
      <c r="K72" s="81" t="s">
        <v>281</v>
      </c>
    </row>
    <row r="73" spans="2:15">
      <c r="B73" s="17" t="s">
        <v>227</v>
      </c>
      <c r="C73" s="17" t="s">
        <v>38</v>
      </c>
      <c r="D73" s="17" t="s">
        <v>233</v>
      </c>
      <c r="E73" s="56">
        <v>45658</v>
      </c>
      <c r="F73" s="17" t="s">
        <v>130</v>
      </c>
      <c r="G73" s="1" t="s">
        <v>131</v>
      </c>
      <c r="H73" s="18">
        <v>2500</v>
      </c>
      <c r="I73" s="17">
        <v>80</v>
      </c>
      <c r="J73" s="18">
        <v>200000</v>
      </c>
      <c r="K73" s="17" t="s">
        <v>282</v>
      </c>
    </row>
    <row r="74" spans="2:15">
      <c r="B74" s="17" t="s">
        <v>227</v>
      </c>
      <c r="C74" s="17" t="s">
        <v>38</v>
      </c>
      <c r="D74" s="17" t="s">
        <v>234</v>
      </c>
      <c r="E74" s="56">
        <v>45658</v>
      </c>
      <c r="F74" s="17" t="s">
        <v>130</v>
      </c>
      <c r="G74" s="1" t="s">
        <v>131</v>
      </c>
      <c r="H74" s="18">
        <v>2500</v>
      </c>
      <c r="I74" s="17">
        <v>70</v>
      </c>
      <c r="J74" s="18">
        <v>175000</v>
      </c>
      <c r="K74" s="17" t="s">
        <v>283</v>
      </c>
    </row>
    <row r="75" spans="2:15">
      <c r="B75" s="17" t="s">
        <v>227</v>
      </c>
      <c r="C75" s="17" t="s">
        <v>38</v>
      </c>
      <c r="D75" s="17" t="s">
        <v>233</v>
      </c>
      <c r="E75" s="56">
        <v>45660</v>
      </c>
      <c r="F75" s="17" t="s">
        <v>132</v>
      </c>
      <c r="G75" s="1" t="s">
        <v>133</v>
      </c>
      <c r="H75" s="18">
        <v>1750</v>
      </c>
      <c r="I75" s="17">
        <v>60</v>
      </c>
      <c r="J75" s="18">
        <v>105000</v>
      </c>
      <c r="K75" s="17" t="s">
        <v>284</v>
      </c>
    </row>
    <row r="76" spans="2:15">
      <c r="B76" s="17" t="s">
        <v>227</v>
      </c>
      <c r="C76" s="17" t="s">
        <v>38</v>
      </c>
      <c r="D76" s="17" t="s">
        <v>234</v>
      </c>
      <c r="E76" s="56">
        <v>45660</v>
      </c>
      <c r="F76" s="17" t="s">
        <v>132</v>
      </c>
      <c r="G76" s="1" t="s">
        <v>133</v>
      </c>
      <c r="H76" s="18">
        <v>1750</v>
      </c>
      <c r="I76" s="17">
        <v>40</v>
      </c>
      <c r="J76" s="18">
        <v>70000</v>
      </c>
      <c r="K76" s="17" t="s">
        <v>285</v>
      </c>
    </row>
    <row r="77" spans="2:15">
      <c r="B77" s="17" t="s">
        <v>227</v>
      </c>
      <c r="C77" s="17" t="s">
        <v>38</v>
      </c>
      <c r="D77" s="17" t="s">
        <v>233</v>
      </c>
      <c r="E77" s="56">
        <v>45662</v>
      </c>
      <c r="F77" s="17" t="s">
        <v>134</v>
      </c>
      <c r="G77" s="1" t="s">
        <v>135</v>
      </c>
      <c r="H77" s="18">
        <v>2100</v>
      </c>
      <c r="I77" s="17">
        <v>70</v>
      </c>
      <c r="J77" s="18">
        <v>147000</v>
      </c>
      <c r="K77" s="17" t="s">
        <v>282</v>
      </c>
    </row>
    <row r="78" spans="2:15">
      <c r="B78" s="17" t="s">
        <v>227</v>
      </c>
      <c r="C78" s="17" t="s">
        <v>38</v>
      </c>
      <c r="D78" s="17" t="s">
        <v>234</v>
      </c>
      <c r="E78" s="56">
        <v>45662</v>
      </c>
      <c r="F78" s="17" t="s">
        <v>134</v>
      </c>
      <c r="G78" s="1" t="s">
        <v>135</v>
      </c>
      <c r="H78" s="18">
        <v>2100</v>
      </c>
      <c r="I78" s="17">
        <v>50</v>
      </c>
      <c r="J78" s="18">
        <v>105000</v>
      </c>
      <c r="K78" s="17" t="s">
        <v>283</v>
      </c>
    </row>
    <row r="79" spans="2:15">
      <c r="B79" s="17" t="s">
        <v>227</v>
      </c>
      <c r="C79" s="17" t="s">
        <v>40</v>
      </c>
      <c r="D79" s="17" t="s">
        <v>235</v>
      </c>
      <c r="E79" s="56">
        <v>45664</v>
      </c>
      <c r="F79" s="17" t="s">
        <v>136</v>
      </c>
      <c r="G79" s="1" t="s">
        <v>137</v>
      </c>
      <c r="H79" s="18">
        <v>1400</v>
      </c>
      <c r="I79" s="17">
        <v>80</v>
      </c>
      <c r="J79" s="18">
        <v>112000</v>
      </c>
      <c r="K79" s="17" t="s">
        <v>285</v>
      </c>
    </row>
    <row r="80" spans="2:15">
      <c r="B80" s="17" t="s">
        <v>227</v>
      </c>
      <c r="C80" s="17" t="s">
        <v>40</v>
      </c>
      <c r="D80" s="17" t="s">
        <v>236</v>
      </c>
      <c r="E80" s="56">
        <v>45664</v>
      </c>
      <c r="F80" s="17" t="s">
        <v>136</v>
      </c>
      <c r="G80" s="1" t="s">
        <v>137</v>
      </c>
      <c r="H80" s="18">
        <v>1400</v>
      </c>
      <c r="I80" s="17">
        <v>70</v>
      </c>
      <c r="J80" s="18">
        <v>98000</v>
      </c>
      <c r="K80" s="17" t="s">
        <v>286</v>
      </c>
    </row>
    <row r="81" spans="2:11">
      <c r="B81" s="17" t="s">
        <v>227</v>
      </c>
      <c r="C81" s="17" t="s">
        <v>40</v>
      </c>
      <c r="D81" s="17" t="s">
        <v>235</v>
      </c>
      <c r="E81" s="56">
        <v>45666</v>
      </c>
      <c r="F81" s="17" t="s">
        <v>130</v>
      </c>
      <c r="G81" s="1" t="s">
        <v>131</v>
      </c>
      <c r="H81" s="18">
        <v>2500</v>
      </c>
      <c r="I81" s="17">
        <v>60</v>
      </c>
      <c r="J81" s="18">
        <v>150000</v>
      </c>
      <c r="K81" s="17" t="s">
        <v>284</v>
      </c>
    </row>
    <row r="82" spans="2:11">
      <c r="B82" s="17" t="s">
        <v>227</v>
      </c>
      <c r="C82" s="17" t="s">
        <v>40</v>
      </c>
      <c r="D82" s="17" t="s">
        <v>236</v>
      </c>
      <c r="E82" s="56">
        <v>45666</v>
      </c>
      <c r="F82" s="17" t="s">
        <v>130</v>
      </c>
      <c r="G82" s="1" t="s">
        <v>131</v>
      </c>
      <c r="H82" s="18">
        <v>2500</v>
      </c>
      <c r="I82" s="17">
        <v>50</v>
      </c>
      <c r="J82" s="18">
        <v>125000</v>
      </c>
      <c r="K82" s="17" t="s">
        <v>286</v>
      </c>
    </row>
    <row r="83" spans="2:11">
      <c r="B83" s="17" t="s">
        <v>227</v>
      </c>
      <c r="C83" s="17" t="s">
        <v>187</v>
      </c>
      <c r="D83" s="17" t="s">
        <v>237</v>
      </c>
      <c r="E83" s="56">
        <v>45668</v>
      </c>
      <c r="F83" s="17" t="s">
        <v>138</v>
      </c>
      <c r="G83" s="1" t="s">
        <v>139</v>
      </c>
      <c r="H83" s="18">
        <v>2000</v>
      </c>
      <c r="I83" s="17">
        <v>60</v>
      </c>
      <c r="J83" s="18">
        <v>120000</v>
      </c>
      <c r="K83" s="17" t="s">
        <v>287</v>
      </c>
    </row>
    <row r="84" spans="2:11">
      <c r="B84" s="17" t="s">
        <v>227</v>
      </c>
      <c r="C84" s="17" t="s">
        <v>187</v>
      </c>
      <c r="D84" s="17" t="s">
        <v>238</v>
      </c>
      <c r="E84" s="56">
        <v>45668</v>
      </c>
      <c r="F84" s="17" t="s">
        <v>138</v>
      </c>
      <c r="G84" s="1" t="s">
        <v>139</v>
      </c>
      <c r="H84" s="18">
        <v>2000</v>
      </c>
      <c r="I84" s="17">
        <v>50</v>
      </c>
      <c r="J84" s="18">
        <v>100000</v>
      </c>
      <c r="K84" s="17" t="s">
        <v>288</v>
      </c>
    </row>
    <row r="85" spans="2:11">
      <c r="B85" s="17" t="s">
        <v>228</v>
      </c>
      <c r="C85" s="17" t="s">
        <v>39</v>
      </c>
      <c r="D85" s="17" t="s">
        <v>239</v>
      </c>
      <c r="E85" s="56">
        <v>45670</v>
      </c>
      <c r="F85" s="17" t="s">
        <v>136</v>
      </c>
      <c r="G85" s="1" t="s">
        <v>137</v>
      </c>
      <c r="H85" s="18">
        <v>1400</v>
      </c>
      <c r="I85" s="17">
        <v>100</v>
      </c>
      <c r="J85" s="18">
        <v>140000</v>
      </c>
      <c r="K85" s="17" t="s">
        <v>289</v>
      </c>
    </row>
    <row r="86" spans="2:11">
      <c r="B86" s="17" t="s">
        <v>228</v>
      </c>
      <c r="C86" s="17" t="s">
        <v>39</v>
      </c>
      <c r="D86" s="17" t="s">
        <v>240</v>
      </c>
      <c r="E86" s="56">
        <v>45670</v>
      </c>
      <c r="F86" s="17" t="s">
        <v>136</v>
      </c>
      <c r="G86" s="1" t="s">
        <v>137</v>
      </c>
      <c r="H86" s="18">
        <v>1400</v>
      </c>
      <c r="I86" s="17">
        <v>100</v>
      </c>
      <c r="J86" s="18">
        <v>140000</v>
      </c>
      <c r="K86" s="17" t="s">
        <v>287</v>
      </c>
    </row>
    <row r="87" spans="2:11">
      <c r="B87" s="17" t="s">
        <v>228</v>
      </c>
      <c r="C87" s="17" t="s">
        <v>58</v>
      </c>
      <c r="D87" s="17" t="s">
        <v>241</v>
      </c>
      <c r="E87" s="56">
        <v>45672</v>
      </c>
      <c r="F87" s="17" t="s">
        <v>134</v>
      </c>
      <c r="G87" s="1" t="s">
        <v>135</v>
      </c>
      <c r="H87" s="18">
        <v>2100</v>
      </c>
      <c r="I87" s="17">
        <v>90</v>
      </c>
      <c r="J87" s="18">
        <v>189000</v>
      </c>
      <c r="K87" s="17" t="s">
        <v>288</v>
      </c>
    </row>
    <row r="88" spans="2:11">
      <c r="B88" s="17" t="s">
        <v>228</v>
      </c>
      <c r="C88" s="17" t="s">
        <v>58</v>
      </c>
      <c r="D88" s="17" t="s">
        <v>242</v>
      </c>
      <c r="E88" s="56">
        <v>45672</v>
      </c>
      <c r="F88" s="17" t="s">
        <v>134</v>
      </c>
      <c r="G88" s="1" t="s">
        <v>135</v>
      </c>
      <c r="H88" s="18">
        <v>2100</v>
      </c>
      <c r="I88" s="17">
        <v>80</v>
      </c>
      <c r="J88" s="18">
        <v>168000</v>
      </c>
      <c r="K88" s="17" t="s">
        <v>290</v>
      </c>
    </row>
    <row r="89" spans="2:11">
      <c r="B89" s="82"/>
      <c r="C89" s="82"/>
      <c r="D89" s="82"/>
      <c r="E89" s="83"/>
      <c r="F89" s="82"/>
      <c r="H89" s="84"/>
      <c r="I89" s="82"/>
      <c r="J89" s="84"/>
      <c r="K89" s="8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927C-2F00-471E-9E43-E82E38A3489A}">
  <dimension ref="A1:O41"/>
  <sheetViews>
    <sheetView tabSelected="1" workbookViewId="0">
      <selection activeCell="T5" sqref="T5"/>
    </sheetView>
  </sheetViews>
  <sheetFormatPr defaultRowHeight="17.399999999999999"/>
  <cols>
    <col min="5" max="14" width="11.09765625" customWidth="1"/>
    <col min="15" max="15" width="10.69921875" bestFit="1" customWidth="1"/>
    <col min="16" max="16" width="8.296875" bestFit="1" customWidth="1"/>
    <col min="17" max="17" width="15" bestFit="1" customWidth="1"/>
    <col min="18" max="18" width="9.296875" bestFit="1" customWidth="1"/>
  </cols>
  <sheetData>
    <row r="1" spans="1:15" s="92" customFormat="1" ht="22.8" customHeight="1">
      <c r="A1" s="92" t="s">
        <v>303</v>
      </c>
    </row>
    <row r="2" spans="1:15" s="91" customFormat="1" ht="21">
      <c r="A2" s="90" t="s">
        <v>302</v>
      </c>
    </row>
    <row r="4" spans="1:15">
      <c r="B4" s="65" t="s">
        <v>304</v>
      </c>
      <c r="C4" s="66"/>
      <c r="D4" s="66"/>
      <c r="E4" s="66"/>
      <c r="F4" s="66"/>
    </row>
    <row r="6" spans="1:15" ht="25.2">
      <c r="B6" s="126" t="s">
        <v>351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</row>
    <row r="7" spans="1:15" ht="21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</row>
    <row r="8" spans="1:15">
      <c r="B8" s="130" t="s">
        <v>1</v>
      </c>
      <c r="C8" s="130" t="s">
        <v>306</v>
      </c>
      <c r="D8" s="130" t="s">
        <v>2</v>
      </c>
      <c r="E8" s="127" t="s">
        <v>305</v>
      </c>
      <c r="F8" s="128"/>
      <c r="G8" s="128"/>
      <c r="H8" s="128"/>
      <c r="I8" s="128"/>
      <c r="J8" s="128"/>
      <c r="K8" s="128"/>
      <c r="L8" s="128"/>
      <c r="M8" s="128"/>
      <c r="N8" s="129"/>
      <c r="O8" s="94"/>
    </row>
    <row r="9" spans="1:15">
      <c r="B9" s="131"/>
      <c r="C9" s="131"/>
      <c r="D9" s="131"/>
      <c r="E9" s="95" t="s">
        <v>307</v>
      </c>
      <c r="F9" s="95" t="s">
        <v>308</v>
      </c>
      <c r="G9" s="95" t="s">
        <v>309</v>
      </c>
      <c r="H9" s="95" t="s">
        <v>310</v>
      </c>
      <c r="I9" s="95" t="s">
        <v>311</v>
      </c>
      <c r="J9" s="95">
        <v>6</v>
      </c>
      <c r="K9" s="95">
        <v>7</v>
      </c>
      <c r="L9" s="95">
        <v>8</v>
      </c>
      <c r="M9" s="95">
        <v>9</v>
      </c>
      <c r="N9" s="95">
        <v>10</v>
      </c>
      <c r="O9" s="96" t="s">
        <v>11</v>
      </c>
    </row>
    <row r="10" spans="1:15">
      <c r="B10" s="97">
        <v>1</v>
      </c>
      <c r="C10" s="97" t="s">
        <v>352</v>
      </c>
      <c r="D10" s="3" t="s">
        <v>16</v>
      </c>
      <c r="E10" s="104">
        <f t="shared" ref="E10:N16" ca="1" si="0">ROUND(RAND()*100000,-3)</f>
        <v>35000</v>
      </c>
      <c r="F10" s="104">
        <f t="shared" ca="1" si="0"/>
        <v>84000</v>
      </c>
      <c r="G10" s="104">
        <f t="shared" ca="1" si="0"/>
        <v>96000</v>
      </c>
      <c r="H10" s="104">
        <f t="shared" ca="1" si="0"/>
        <v>12000</v>
      </c>
      <c r="I10" s="104">
        <f t="shared" ca="1" si="0"/>
        <v>74000</v>
      </c>
      <c r="J10" s="104">
        <f t="shared" ca="1" si="0"/>
        <v>88000</v>
      </c>
      <c r="K10" s="104">
        <f t="shared" ca="1" si="0"/>
        <v>94000</v>
      </c>
      <c r="L10" s="104">
        <f t="shared" ca="1" si="0"/>
        <v>41000</v>
      </c>
      <c r="M10" s="104">
        <f t="shared" ca="1" si="0"/>
        <v>83000</v>
      </c>
      <c r="N10" s="104">
        <f t="shared" ca="1" si="0"/>
        <v>31000</v>
      </c>
      <c r="O10" s="98">
        <f t="shared" ref="O10:O16" ca="1" si="1">SUM(E10:N10)</f>
        <v>638000</v>
      </c>
    </row>
    <row r="11" spans="1:15">
      <c r="B11" s="97">
        <v>2</v>
      </c>
      <c r="C11" s="97" t="s">
        <v>352</v>
      </c>
      <c r="D11" s="3" t="s">
        <v>358</v>
      </c>
      <c r="E11" s="104">
        <f t="shared" ca="1" si="0"/>
        <v>56000</v>
      </c>
      <c r="F11" s="104">
        <f t="shared" ca="1" si="0"/>
        <v>87000</v>
      </c>
      <c r="G11" s="104">
        <f t="shared" ca="1" si="0"/>
        <v>94000</v>
      </c>
      <c r="H11" s="104">
        <f t="shared" ca="1" si="0"/>
        <v>9000</v>
      </c>
      <c r="I11" s="104">
        <f t="shared" ca="1" si="0"/>
        <v>9000</v>
      </c>
      <c r="J11" s="104">
        <f t="shared" ca="1" si="0"/>
        <v>8000</v>
      </c>
      <c r="K11" s="104">
        <f t="shared" ca="1" si="0"/>
        <v>24000</v>
      </c>
      <c r="L11" s="104">
        <f t="shared" ca="1" si="0"/>
        <v>21000</v>
      </c>
      <c r="M11" s="104">
        <f t="shared" ca="1" si="0"/>
        <v>30000</v>
      </c>
      <c r="N11" s="104">
        <f t="shared" ca="1" si="0"/>
        <v>73000</v>
      </c>
      <c r="O11" s="98">
        <f t="shared" ca="1" si="1"/>
        <v>411000</v>
      </c>
    </row>
    <row r="12" spans="1:15">
      <c r="B12" s="97">
        <v>3</v>
      </c>
      <c r="C12" s="97" t="s">
        <v>353</v>
      </c>
      <c r="D12" s="3" t="s">
        <v>18</v>
      </c>
      <c r="E12" s="104">
        <f t="shared" ca="1" si="0"/>
        <v>6000</v>
      </c>
      <c r="F12" s="104">
        <f t="shared" ca="1" si="0"/>
        <v>31000</v>
      </c>
      <c r="G12" s="104">
        <f t="shared" ca="1" si="0"/>
        <v>4000</v>
      </c>
      <c r="H12" s="104">
        <f t="shared" ca="1" si="0"/>
        <v>51000</v>
      </c>
      <c r="I12" s="104">
        <f t="shared" ca="1" si="0"/>
        <v>16000</v>
      </c>
      <c r="J12" s="104">
        <f t="shared" ca="1" si="0"/>
        <v>87000</v>
      </c>
      <c r="K12" s="104">
        <f t="shared" ca="1" si="0"/>
        <v>59000</v>
      </c>
      <c r="L12" s="104">
        <f t="shared" ca="1" si="0"/>
        <v>86000</v>
      </c>
      <c r="M12" s="104">
        <f t="shared" ca="1" si="0"/>
        <v>75000</v>
      </c>
      <c r="N12" s="104">
        <f t="shared" ca="1" si="0"/>
        <v>62000</v>
      </c>
      <c r="O12" s="98">
        <f t="shared" ca="1" si="1"/>
        <v>477000</v>
      </c>
    </row>
    <row r="13" spans="1:15">
      <c r="B13" s="97">
        <v>4</v>
      </c>
      <c r="C13" s="97" t="s">
        <v>353</v>
      </c>
      <c r="D13" s="3" t="s">
        <v>359</v>
      </c>
      <c r="E13" s="104">
        <f t="shared" ca="1" si="0"/>
        <v>64000</v>
      </c>
      <c r="F13" s="104">
        <f t="shared" ca="1" si="0"/>
        <v>0</v>
      </c>
      <c r="G13" s="104">
        <f t="shared" ca="1" si="0"/>
        <v>62000</v>
      </c>
      <c r="H13" s="104">
        <f t="shared" ca="1" si="0"/>
        <v>24000</v>
      </c>
      <c r="I13" s="104">
        <f t="shared" ca="1" si="0"/>
        <v>86000</v>
      </c>
      <c r="J13" s="104">
        <f t="shared" ca="1" si="0"/>
        <v>8000</v>
      </c>
      <c r="K13" s="104">
        <f t="shared" ca="1" si="0"/>
        <v>2000</v>
      </c>
      <c r="L13" s="104">
        <f t="shared" ca="1" si="0"/>
        <v>81000</v>
      </c>
      <c r="M13" s="104">
        <f t="shared" ca="1" si="0"/>
        <v>18000</v>
      </c>
      <c r="N13" s="104">
        <f t="shared" ca="1" si="0"/>
        <v>36000</v>
      </c>
      <c r="O13" s="98">
        <f t="shared" ca="1" si="1"/>
        <v>381000</v>
      </c>
    </row>
    <row r="14" spans="1:15">
      <c r="B14" s="97">
        <v>5</v>
      </c>
      <c r="C14" s="97" t="s">
        <v>353</v>
      </c>
      <c r="D14" s="3" t="s">
        <v>32</v>
      </c>
      <c r="E14" s="104">
        <f t="shared" ca="1" si="0"/>
        <v>87000</v>
      </c>
      <c r="F14" s="104">
        <f t="shared" ca="1" si="0"/>
        <v>13000</v>
      </c>
      <c r="G14" s="104">
        <f t="shared" ca="1" si="0"/>
        <v>41000</v>
      </c>
      <c r="H14" s="104">
        <f t="shared" ca="1" si="0"/>
        <v>76000</v>
      </c>
      <c r="I14" s="104">
        <f t="shared" ca="1" si="0"/>
        <v>91000</v>
      </c>
      <c r="J14" s="104">
        <f t="shared" ca="1" si="0"/>
        <v>12000</v>
      </c>
      <c r="K14" s="104">
        <f t="shared" ca="1" si="0"/>
        <v>65000</v>
      </c>
      <c r="L14" s="104">
        <f t="shared" ca="1" si="0"/>
        <v>90000</v>
      </c>
      <c r="M14" s="104">
        <f t="shared" ca="1" si="0"/>
        <v>26000</v>
      </c>
      <c r="N14" s="104">
        <f t="shared" ca="1" si="0"/>
        <v>53000</v>
      </c>
      <c r="O14" s="98">
        <f t="shared" ca="1" si="1"/>
        <v>554000</v>
      </c>
    </row>
    <row r="15" spans="1:15">
      <c r="B15" s="97">
        <v>6</v>
      </c>
      <c r="C15" s="97" t="s">
        <v>354</v>
      </c>
      <c r="D15" s="3" t="s">
        <v>360</v>
      </c>
      <c r="E15" s="104">
        <f t="shared" ca="1" si="0"/>
        <v>70000</v>
      </c>
      <c r="F15" s="104">
        <f t="shared" ca="1" si="0"/>
        <v>92000</v>
      </c>
      <c r="G15" s="104">
        <f t="shared" ca="1" si="0"/>
        <v>99000</v>
      </c>
      <c r="H15" s="104">
        <f t="shared" ca="1" si="0"/>
        <v>95000</v>
      </c>
      <c r="I15" s="104">
        <f t="shared" ca="1" si="0"/>
        <v>79000</v>
      </c>
      <c r="J15" s="104">
        <f t="shared" ca="1" si="0"/>
        <v>98000</v>
      </c>
      <c r="K15" s="104">
        <f t="shared" ca="1" si="0"/>
        <v>23000</v>
      </c>
      <c r="L15" s="104">
        <f t="shared" ca="1" si="0"/>
        <v>9000</v>
      </c>
      <c r="M15" s="104">
        <f t="shared" ca="1" si="0"/>
        <v>8000</v>
      </c>
      <c r="N15" s="104">
        <f t="shared" ca="1" si="0"/>
        <v>77000</v>
      </c>
      <c r="O15" s="98">
        <f t="shared" ca="1" si="1"/>
        <v>650000</v>
      </c>
    </row>
    <row r="16" spans="1:15">
      <c r="B16" s="97">
        <v>7</v>
      </c>
      <c r="C16" s="97" t="s">
        <v>354</v>
      </c>
      <c r="D16" s="3" t="s">
        <v>361</v>
      </c>
      <c r="E16" s="104">
        <f t="shared" ca="1" si="0"/>
        <v>74000</v>
      </c>
      <c r="F16" s="104">
        <f t="shared" ca="1" si="0"/>
        <v>48000</v>
      </c>
      <c r="G16" s="104">
        <f t="shared" ca="1" si="0"/>
        <v>69000</v>
      </c>
      <c r="H16" s="104">
        <f t="shared" ca="1" si="0"/>
        <v>71000</v>
      </c>
      <c r="I16" s="104">
        <f t="shared" ca="1" si="0"/>
        <v>95000</v>
      </c>
      <c r="J16" s="104">
        <f t="shared" ca="1" si="0"/>
        <v>58000</v>
      </c>
      <c r="K16" s="104">
        <f t="shared" ca="1" si="0"/>
        <v>13000</v>
      </c>
      <c r="L16" s="104">
        <f t="shared" ca="1" si="0"/>
        <v>74000</v>
      </c>
      <c r="M16" s="104">
        <f t="shared" ca="1" si="0"/>
        <v>35000</v>
      </c>
      <c r="N16" s="104">
        <f t="shared" ca="1" si="0"/>
        <v>86000</v>
      </c>
      <c r="O16" s="98">
        <f t="shared" ca="1" si="1"/>
        <v>623000</v>
      </c>
    </row>
    <row r="17" spans="2:15">
      <c r="B17" s="99"/>
      <c r="C17" s="99"/>
      <c r="D17" s="100" t="s">
        <v>355</v>
      </c>
      <c r="E17" s="101">
        <f ca="1">SUM(E10:E16)</f>
        <v>392000</v>
      </c>
      <c r="F17" s="101">
        <f t="shared" ref="F17:N17" ca="1" si="2">SUM(F10:F16)</f>
        <v>355000</v>
      </c>
      <c r="G17" s="101">
        <f t="shared" ca="1" si="2"/>
        <v>465000</v>
      </c>
      <c r="H17" s="101">
        <f t="shared" ca="1" si="2"/>
        <v>338000</v>
      </c>
      <c r="I17" s="101">
        <f t="shared" ca="1" si="2"/>
        <v>450000</v>
      </c>
      <c r="J17" s="101">
        <f t="shared" ca="1" si="2"/>
        <v>359000</v>
      </c>
      <c r="K17" s="101">
        <f t="shared" ca="1" si="2"/>
        <v>280000</v>
      </c>
      <c r="L17" s="101">
        <f t="shared" ca="1" si="2"/>
        <v>402000</v>
      </c>
      <c r="M17" s="101">
        <f t="shared" ca="1" si="2"/>
        <v>275000</v>
      </c>
      <c r="N17" s="101">
        <f t="shared" ca="1" si="2"/>
        <v>418000</v>
      </c>
      <c r="O17" s="98">
        <f ca="1">SUM(O10:O16)</f>
        <v>3734000</v>
      </c>
    </row>
    <row r="19" spans="2:15">
      <c r="E19" s="65" t="s">
        <v>313</v>
      </c>
    </row>
    <row r="21" spans="2:15">
      <c r="B21" s="132" t="s">
        <v>314</v>
      </c>
    </row>
    <row r="22" spans="2:15">
      <c r="B22" s="132" t="s">
        <v>315</v>
      </c>
    </row>
    <row r="25" spans="2:15">
      <c r="B25" s="65" t="s">
        <v>312</v>
      </c>
      <c r="C25" s="66"/>
      <c r="D25" s="66"/>
      <c r="E25" s="66"/>
      <c r="F25" s="66"/>
      <c r="G25" s="66"/>
    </row>
    <row r="27" spans="2:15">
      <c r="B27" s="64" t="s">
        <v>1</v>
      </c>
      <c r="C27" s="64" t="s">
        <v>306</v>
      </c>
      <c r="D27" s="64" t="s">
        <v>2</v>
      </c>
      <c r="E27" s="102" t="s">
        <v>305</v>
      </c>
      <c r="F27" s="64" t="s">
        <v>356</v>
      </c>
    </row>
    <row r="28" spans="2:15">
      <c r="B28" s="103">
        <v>1</v>
      </c>
      <c r="C28" s="97" t="s">
        <v>352</v>
      </c>
      <c r="D28" s="3" t="s">
        <v>16</v>
      </c>
      <c r="E28" s="95" t="s">
        <v>307</v>
      </c>
      <c r="F28" s="104">
        <f ca="1">E10</f>
        <v>35000</v>
      </c>
    </row>
    <row r="29" spans="2:15">
      <c r="B29" s="103">
        <v>2</v>
      </c>
      <c r="C29" s="97" t="s">
        <v>352</v>
      </c>
      <c r="D29" s="3" t="s">
        <v>358</v>
      </c>
      <c r="E29" s="95" t="s">
        <v>307</v>
      </c>
      <c r="F29" s="104">
        <f ca="1">E11</f>
        <v>56000</v>
      </c>
    </row>
    <row r="30" spans="2:15">
      <c r="B30" s="103">
        <v>3</v>
      </c>
      <c r="C30" s="97" t="s">
        <v>353</v>
      </c>
      <c r="D30" s="3" t="s">
        <v>18</v>
      </c>
      <c r="E30" s="95" t="s">
        <v>307</v>
      </c>
      <c r="F30" s="104">
        <f ca="1">E12</f>
        <v>6000</v>
      </c>
    </row>
    <row r="31" spans="2:15">
      <c r="B31" s="103">
        <v>4</v>
      </c>
      <c r="C31" s="97" t="s">
        <v>353</v>
      </c>
      <c r="D31" s="3" t="s">
        <v>359</v>
      </c>
      <c r="E31" s="95" t="s">
        <v>307</v>
      </c>
      <c r="F31" s="104">
        <f t="shared" ref="F31:F34" ca="1" si="3">E13</f>
        <v>64000</v>
      </c>
    </row>
    <row r="32" spans="2:15">
      <c r="B32" s="103">
        <v>5</v>
      </c>
      <c r="C32" s="97" t="s">
        <v>353</v>
      </c>
      <c r="D32" s="3" t="s">
        <v>32</v>
      </c>
      <c r="E32" s="95" t="s">
        <v>307</v>
      </c>
      <c r="F32" s="104">
        <f t="shared" ca="1" si="3"/>
        <v>87000</v>
      </c>
    </row>
    <row r="33" spans="2:6">
      <c r="B33" s="103">
        <v>6</v>
      </c>
      <c r="C33" s="97" t="s">
        <v>354</v>
      </c>
      <c r="D33" s="3" t="s">
        <v>360</v>
      </c>
      <c r="E33" s="95" t="s">
        <v>307</v>
      </c>
      <c r="F33" s="104">
        <f t="shared" ca="1" si="3"/>
        <v>70000</v>
      </c>
    </row>
    <row r="34" spans="2:6">
      <c r="B34" s="103">
        <v>7</v>
      </c>
      <c r="C34" s="97" t="s">
        <v>354</v>
      </c>
      <c r="D34" s="3" t="s">
        <v>361</v>
      </c>
      <c r="E34" s="95" t="s">
        <v>307</v>
      </c>
      <c r="F34" s="104">
        <f t="shared" ca="1" si="3"/>
        <v>74000</v>
      </c>
    </row>
    <row r="35" spans="2:6">
      <c r="B35" s="103">
        <v>8</v>
      </c>
      <c r="C35" s="97" t="s">
        <v>352</v>
      </c>
      <c r="D35" s="3" t="s">
        <v>16</v>
      </c>
      <c r="E35" s="95" t="s">
        <v>308</v>
      </c>
      <c r="F35" s="104">
        <f ca="1">F10</f>
        <v>84000</v>
      </c>
    </row>
    <row r="36" spans="2:6">
      <c r="B36" s="103">
        <v>9</v>
      </c>
      <c r="C36" s="97" t="s">
        <v>352</v>
      </c>
      <c r="D36" s="3" t="s">
        <v>358</v>
      </c>
      <c r="E36" s="95" t="s">
        <v>308</v>
      </c>
      <c r="F36" s="104">
        <f t="shared" ref="F36:F41" ca="1" si="4">F11</f>
        <v>87000</v>
      </c>
    </row>
    <row r="37" spans="2:6">
      <c r="B37" s="103">
        <v>10</v>
      </c>
      <c r="C37" s="97" t="s">
        <v>353</v>
      </c>
      <c r="D37" s="3" t="s">
        <v>18</v>
      </c>
      <c r="E37" s="95" t="s">
        <v>308</v>
      </c>
      <c r="F37" s="104">
        <f t="shared" ca="1" si="4"/>
        <v>31000</v>
      </c>
    </row>
    <row r="38" spans="2:6">
      <c r="B38" s="103">
        <v>11</v>
      </c>
      <c r="C38" s="97" t="s">
        <v>353</v>
      </c>
      <c r="D38" s="3" t="s">
        <v>359</v>
      </c>
      <c r="E38" s="95" t="s">
        <v>308</v>
      </c>
      <c r="F38" s="104">
        <f t="shared" ca="1" si="4"/>
        <v>0</v>
      </c>
    </row>
    <row r="39" spans="2:6">
      <c r="B39" s="103">
        <v>12</v>
      </c>
      <c r="C39" s="97" t="s">
        <v>353</v>
      </c>
      <c r="D39" s="3" t="s">
        <v>32</v>
      </c>
      <c r="E39" s="95" t="s">
        <v>308</v>
      </c>
      <c r="F39" s="104">
        <f t="shared" ca="1" si="4"/>
        <v>13000</v>
      </c>
    </row>
    <row r="40" spans="2:6">
      <c r="B40" s="103">
        <v>13</v>
      </c>
      <c r="C40" s="97" t="s">
        <v>354</v>
      </c>
      <c r="D40" s="3" t="s">
        <v>360</v>
      </c>
      <c r="E40" s="95" t="s">
        <v>308</v>
      </c>
      <c r="F40" s="104">
        <f t="shared" ca="1" si="4"/>
        <v>92000</v>
      </c>
    </row>
    <row r="41" spans="2:6">
      <c r="B41" s="103">
        <v>14</v>
      </c>
      <c r="C41" s="97" t="s">
        <v>354</v>
      </c>
      <c r="D41" s="3" t="s">
        <v>361</v>
      </c>
      <c r="E41" s="95" t="s">
        <v>308</v>
      </c>
      <c r="F41" s="104">
        <f t="shared" ca="1" si="4"/>
        <v>48000</v>
      </c>
    </row>
  </sheetData>
  <mergeCells count="5">
    <mergeCell ref="B6:O6"/>
    <mergeCell ref="E8:N8"/>
    <mergeCell ref="D8:D9"/>
    <mergeCell ref="C8:C9"/>
    <mergeCell ref="B8:B9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B4BF-E534-4338-A2F9-D0E922472668}">
  <dimension ref="A1:O54"/>
  <sheetViews>
    <sheetView workbookViewId="0"/>
  </sheetViews>
  <sheetFormatPr defaultRowHeight="17.399999999999999"/>
  <cols>
    <col min="13" max="13" width="11.3984375" customWidth="1"/>
  </cols>
  <sheetData>
    <row r="1" spans="1:15" s="76" customFormat="1" ht="21">
      <c r="A1" s="2" t="s">
        <v>300</v>
      </c>
    </row>
    <row r="2" spans="1:15" ht="21">
      <c r="A2" s="87"/>
    </row>
    <row r="3" spans="1:15" ht="21">
      <c r="B3" s="2" t="s">
        <v>292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>
      <c r="J5" s="88" t="s">
        <v>301</v>
      </c>
      <c r="K5" s="89"/>
      <c r="L5" s="89"/>
      <c r="M5" s="89"/>
    </row>
    <row r="6" spans="1:15">
      <c r="J6" t="s">
        <v>231</v>
      </c>
    </row>
    <row r="7" spans="1:15">
      <c r="J7" t="s">
        <v>185</v>
      </c>
    </row>
    <row r="8" spans="1:15">
      <c r="J8" t="s">
        <v>232</v>
      </c>
    </row>
    <row r="9" spans="1:15">
      <c r="J9" t="s">
        <v>142</v>
      </c>
    </row>
    <row r="10" spans="1:15">
      <c r="J10" t="s">
        <v>127</v>
      </c>
    </row>
    <row r="11" spans="1:15">
      <c r="J11" t="s">
        <v>128</v>
      </c>
    </row>
    <row r="12" spans="1:15">
      <c r="J12" t="s">
        <v>129</v>
      </c>
    </row>
    <row r="13" spans="1:15">
      <c r="B13" s="5" t="s">
        <v>293</v>
      </c>
      <c r="J13" t="s">
        <v>143</v>
      </c>
    </row>
    <row r="14" spans="1:15">
      <c r="J14" t="s">
        <v>186</v>
      </c>
    </row>
    <row r="15" spans="1:15">
      <c r="J15" t="s">
        <v>281</v>
      </c>
    </row>
    <row r="21" spans="2:2">
      <c r="B21" s="5" t="s">
        <v>297</v>
      </c>
    </row>
    <row r="33" spans="2:14">
      <c r="B33" s="5" t="s">
        <v>298</v>
      </c>
    </row>
    <row r="34" spans="2:14">
      <c r="M34" s="85" t="s">
        <v>295</v>
      </c>
      <c r="N34" t="s">
        <v>294</v>
      </c>
    </row>
    <row r="35" spans="2:14">
      <c r="M35" s="86">
        <v>45658</v>
      </c>
      <c r="N35" s="78">
        <v>375000</v>
      </c>
    </row>
    <row r="36" spans="2:14">
      <c r="M36" s="86">
        <v>45660</v>
      </c>
      <c r="N36" s="78">
        <v>175000</v>
      </c>
    </row>
    <row r="37" spans="2:14">
      <c r="M37" s="86">
        <v>45662</v>
      </c>
      <c r="N37" s="78">
        <v>252000</v>
      </c>
    </row>
    <row r="38" spans="2:14">
      <c r="M38" s="86">
        <v>45664</v>
      </c>
      <c r="N38" s="78">
        <v>210000</v>
      </c>
    </row>
    <row r="39" spans="2:14">
      <c r="M39" s="86">
        <v>45666</v>
      </c>
      <c r="N39" s="78">
        <v>275000</v>
      </c>
    </row>
    <row r="40" spans="2:14">
      <c r="M40" s="86">
        <v>45668</v>
      </c>
      <c r="N40" s="78">
        <v>220000</v>
      </c>
    </row>
    <row r="41" spans="2:14">
      <c r="M41" s="86">
        <v>45670</v>
      </c>
      <c r="N41" s="78">
        <v>280000</v>
      </c>
    </row>
    <row r="42" spans="2:14">
      <c r="M42" s="86">
        <v>45672</v>
      </c>
      <c r="N42" s="78">
        <v>357000</v>
      </c>
    </row>
    <row r="43" spans="2:14">
      <c r="M43" s="86" t="s">
        <v>296</v>
      </c>
      <c r="N43" s="78">
        <v>2144000</v>
      </c>
    </row>
    <row r="54" spans="2:2">
      <c r="B54" s="5" t="s">
        <v>299</v>
      </c>
    </row>
  </sheetData>
  <phoneticPr fontId="1" type="noConversion"/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AACE-F4E6-496D-98D2-6E32B3F037A3}">
  <dimension ref="B12:B20"/>
  <sheetViews>
    <sheetView workbookViewId="0"/>
  </sheetViews>
  <sheetFormatPr defaultRowHeight="17.399999999999999"/>
  <cols>
    <col min="1" max="1" width="8.796875" style="14"/>
    <col min="2" max="2" width="11.8984375" style="14" customWidth="1"/>
    <col min="3" max="16384" width="8.796875" style="14"/>
  </cols>
  <sheetData>
    <row r="12" spans="2:2" ht="19.2">
      <c r="B12" s="106" t="s">
        <v>349</v>
      </c>
    </row>
    <row r="13" spans="2:2">
      <c r="B13" s="105" t="s">
        <v>316</v>
      </c>
    </row>
    <row r="14" spans="2:2">
      <c r="B14" s="105" t="s">
        <v>317</v>
      </c>
    </row>
    <row r="15" spans="2:2">
      <c r="B15" s="105" t="s">
        <v>318</v>
      </c>
    </row>
    <row r="16" spans="2:2">
      <c r="B16" s="105" t="s">
        <v>321</v>
      </c>
    </row>
    <row r="17" spans="2:2">
      <c r="B17" s="105"/>
    </row>
    <row r="18" spans="2:2" ht="19.2">
      <c r="B18" s="106" t="s">
        <v>322</v>
      </c>
    </row>
    <row r="19" spans="2:2">
      <c r="B19" s="105" t="s">
        <v>319</v>
      </c>
    </row>
    <row r="20" spans="2:2">
      <c r="B20" s="105" t="s">
        <v>320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A564A-78A4-464C-9ACE-C15E346157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0환경</vt:lpstr>
      <vt:lpstr>1셀</vt:lpstr>
      <vt:lpstr>2채</vt:lpstr>
      <vt:lpstr>3단</vt:lpstr>
      <vt:lpstr>5문</vt:lpstr>
      <vt:lpstr>4데</vt:lpstr>
      <vt:lpstr>6V</vt:lpstr>
      <vt:lpstr>6S</vt:lpstr>
      <vt:lpstr>9셀병합</vt:lpstr>
      <vt:lpstr>10피벗</vt:lpstr>
      <vt:lpstr>13분석이 어려운 이유</vt:lpstr>
      <vt:lpstr>13데이터분석</vt:lpstr>
      <vt:lpstr>출처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컴도리</dc:creator>
  <cp:lastModifiedBy>Junyeob Jeong</cp:lastModifiedBy>
  <dcterms:created xsi:type="dcterms:W3CDTF">2022-08-30T04:08:15Z</dcterms:created>
  <dcterms:modified xsi:type="dcterms:W3CDTF">2025-03-01T12:50:52Z</dcterms:modified>
</cp:coreProperties>
</file>